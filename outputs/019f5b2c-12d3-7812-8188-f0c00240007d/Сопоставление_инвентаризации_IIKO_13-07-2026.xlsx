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adc0897bc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опоставление" sheetId="1" r:id="R646fead6a87148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&quot;%&quot;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334E68"/>
      <x:name val="Carlito"/>
    </x:font>
    <x:font>
      <x:b/>
      <x:sz val="10"/>
      <x:color rgb="FF243B53"/>
      <x:name val="Carlito"/>
    </x:font>
    <x:font>
      <x:b/>
      <x:sz val="11"/>
      <x:color rgb="FF17324D"/>
      <x:name val="Carlito"/>
    </x:font>
    <x:font>
      <x:b/>
      <x:i/>
      <x:sz val="9"/>
      <x:color rgb="FF486581"/>
      <x:name val="Carlito"/>
    </x:font>
    <x:font>
      <x:b/>
      <x:sz val="10"/>
      <x:color rgb="FFFFFFFF"/>
      <x:name val="Carlito"/>
    </x:font>
    <x:font>
      <x:sz val="9"/>
      <x:color rgb="FF243B53"/>
      <x:name val="Carlito"/>
    </x:font>
    <x:font>
      <x:sz val="8"/>
      <x:color rgb="FF627D9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5"/>
      </x:patternFill>
    </x:fill>
    <x:fill>
      <x:patternFill patternType="solid">
        <x:fgColor rgb="FFF7FAFC"/>
      </x:patternFill>
    </x:fill>
    <x:fill>
      <x:patternFill patternType="solid">
        <x:fgColor rgb="FFD9EAF0"/>
      </x:patternFill>
    </x:fill>
    <x:fill>
      <x:patternFill patternType="solid">
        <x:fgColor rgb="FF2F5D62"/>
      </x:patternFill>
    </x:fill>
  </x:fills>
  <x:borders count="3">
    <x:border/>
    <x:border>
      <x:left style="thin">
        <x:color rgb="FFD5E1E7"/>
      </x:left>
      <x:right style="thin">
        <x:color rgb="FFD5E1E7"/>
      </x:right>
      <x:top style="thin">
        <x:color rgb="FFD5E1E7"/>
      </x:top>
      <x:bottom style="thin">
        <x:color rgb="FFD5E1E7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vertical="top"/>
    </x:xf>
    <x:xf numFmtId="0" fontId="7" fillId="0" borderId="2" xfId="0" applyNumberFormat="1" applyFont="1" applyFill="1" applyBorder="1" applyAlignment="1">
      <x:alignment horizontal="center" vertical="top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horizontal="center" vertical="top" wrapText="1"/>
    </x:xf>
    <x:xf numFmtId="200" fontId="7" fillId="0" borderId="2" xfId="0" applyNumberFormat="1" applyFont="1" applyFill="1" applyBorder="1" applyAlignment="1">
      <x:alignment horizontal="center" vertical="top"/>
    </x:xf>
    <x:xf numFmtId="0" fontId="8" fillId="0" borderId="2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ill>
        <x:patternFill patternType="solid">
          <x:bgColor rgb="FFEDF7F0"/>
        </x:patternFill>
      </x:fill>
    </x:dxf>
    <x:dxf>
      <x:fill>
        <x:patternFill patternType="solid">
          <x:bgColor rgb="FFEEF6FB"/>
        </x:patternFill>
      </x:fill>
    </x:dxf>
    <x:dxf>
      <x:font>
        <x:color rgb="FF7C5A00"/>
      </x:font>
      <x:fill>
        <x:patternFill patternType="solid">
          <x:bgColor rgb="FFFFF4CC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391938808941b5" /><Relationship Type="http://schemas.openxmlformats.org/officeDocument/2006/relationships/theme" Target="/xl/theme/theme1.xml" Id="R80d95a090adf459b" /><Relationship Type="http://schemas.openxmlformats.org/officeDocument/2006/relationships/sharedStrings" Target="/xl/sharedStrings.xml" Id="R5a9bea13766546d9" /><Relationship Type="http://schemas.openxmlformats.org/officeDocument/2006/relationships/worksheet" Target="/xl/worksheets/sheet1.xml" Id="R646fead6a8714880" /></Relationships>
</file>

<file path=xl/tables/table1.xml><?xml version="1.0" encoding="utf-8"?>
<x:table xmlns:x="http://schemas.openxmlformats.org/spreadsheetml/2006/main" id="1" name="InventoryIikoMapping" displayName="InventoryIikoMapping" ref="A5:K200" headerRowCount="1" totalsRowCount="0" totalsRowShown="0">
  <x:autoFilter ref="A5:K200"/>
  <x:tableColumns count="11">
    <x:tableColumn id="1" name="Стр. PDF"/>
    <x:tableColumn id="2" name="Разделы листов"/>
    <x:tableColumn id="3" name="Название в листах"/>
    <x:tableColumn id="4" name="Название в IIKO"/>
    <x:tableColumn id="5" name="Код IIKO"/>
    <x:tableColumn id="6" name="Ед. изм."/>
    <x:tableColumn id="7" name="Тип IIKO"/>
    <x:tableColumn id="8" name="Уверенность, %"/>
    <x:tableColumn id="9" name="Статус"/>
    <x:tableColumn id="10" name="Комментарий"/>
    <x:tableColumn id="11" name="ID IIKO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5cef976a044e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5" hidden="0" customWidth="1"/>
    <x:col min="3" max="3" width="35" hidden="0" customWidth="1"/>
    <x:col min="4" max="4" width="34" hidden="0" customWidth="1"/>
    <x:col min="5" max="5" width="11" hidden="0" customWidth="1"/>
    <x:col min="6" max="6" width="10" hidden="0" customWidth="1"/>
    <x:col min="7" max="7" width="15" hidden="0" customWidth="1"/>
    <x:col min="8" max="8" width="14" hidden="0" customWidth="1"/>
    <x:col min="9" max="9" width="21" hidden="0" customWidth="1"/>
    <x:col min="10" max="10" width="58" hidden="0" customWidth="1"/>
    <x:col min="11" max="11" width="38" hidden="0" customWidth="1"/>
  </x:cols>
  <x:sheetData>
    <x:row r="1" ht="34" customHeight="1">
      <x:c r="A1" s="4" t="str">
        <x:v>Сопоставление инвентаризационных листов с номенклатурой IIKO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8" customHeight="1">
      <x:c r="A2" s="9" t="str">
        <x:v>Источник: PDF, 18 страниц; дата ревизии 13.07.2026. Справочник IIKO: 996 активных позиций, локальный кэш от 18.06.2026. Неоднозначные пары отмечены для ручной проверки.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 ht="25" customHeight="1">
      <x:c r="A3" s="12" t="str">
        <x:v>Всего названий</x:v>
      </x:c>
      <x:c r="B3" s="15" t="n">
        <x:f>COUNTA(C6:C200)</x:f>
        <x:v>195</x:v>
      </x:c>
      <x:c r="C3" s="12" t="str">
        <x:v>Точные</x:v>
      </x:c>
      <x:c r="D3" s="15" t="n">
        <x:f>COUNTIF(I6:I200,"Точное")</x:f>
        <x:v>158</x:v>
      </x:c>
      <x:c r="E3" s="12" t="str">
        <x:v>По смыслу</x:v>
      </x:c>
      <x:c r="F3" s="15" t="n">
        <x:f>COUNTIF(I6:I200,"По смыслу")</x:f>
        <x:v>24</x:v>
      </x:c>
      <x:c r="G3" s="12" t="str">
        <x:v>Проверить</x:v>
      </x:c>
      <x:c r="H3" s="15" t="n">
        <x:f>COUNTIF(I6:I200,"Требует проверки")</x:f>
        <x:v>11</x:v>
      </x:c>
      <x:c r="I3" s="12" t="str">
        <x:v>Не найдено</x:v>
      </x:c>
      <x:c r="J3" s="15" t="n">
        <x:f>COUNTIF(I6:I200,"Не найдено")</x:f>
        <x:v>2</x:v>
      </x:c>
      <x:c r="K3" s="16" t="str">
        <x:v>Кэш IIKO: 18.06.2026</x:v>
      </x:c>
    </x:row>
    <x:row r="5" ht="32" customHeight="1">
      <x:c r="A5" s="22" t="str">
        <x:v>Стр. PDF</x:v>
      </x:c>
      <x:c r="B5" s="22" t="str">
        <x:v>Разделы листов</x:v>
      </x:c>
      <x:c r="C5" s="22" t="str">
        <x:v>Название в листах</x:v>
      </x:c>
      <x:c r="D5" s="22" t="str">
        <x:v>Название в IIKO</x:v>
      </x:c>
      <x:c r="E5" s="22" t="str">
        <x:v>Код IIKO</x:v>
      </x:c>
      <x:c r="F5" s="22" t="str">
        <x:v>Ед. изм.</x:v>
      </x:c>
      <x:c r="G5" s="22" t="str">
        <x:v>Тип IIKO</x:v>
      </x:c>
      <x:c r="H5" s="22" t="str">
        <x:v>Уверенность, %</x:v>
      </x:c>
      <x:c r="I5" s="22" t="str">
        <x:v>Статус</x:v>
      </x:c>
      <x:c r="J5" s="22" t="str">
        <x:v>Комментарий</x:v>
      </x:c>
      <x:c r="K5" s="22" t="str">
        <x:v>ID IIKO</x:v>
      </x:c>
    </x:row>
    <x:row r="6" ht="15" hidden="0" customHeight="1">
      <x:c r="A6" s="26" t="str">
        <x:v>1</x:v>
      </x:c>
      <x:c r="B6" s="27" t="str">
        <x:v>Бар — Администраторы</x:v>
      </x:c>
      <x:c r="C6" s="27" t="str">
        <x:v>Васаби (товар)</x:v>
      </x:c>
      <x:c r="D6" s="27" t="str">
        <x:v>Васаби</x:v>
      </x:c>
      <x:c r="E6" s="26" t="str">
        <x:v>349</x:v>
      </x:c>
      <x:c r="F6" s="26" t="str">
        <x:v>кг</x:v>
      </x:c>
      <x:c r="G6" s="26" t="str">
        <x:v>Товар</x:v>
      </x:c>
      <x:c r="H6" s="29" t="n">
        <x:v>100</x:v>
      </x:c>
      <x:c r="I6" s="28" t="str">
        <x:v>Точное</x:v>
      </x:c>
      <x:c r="J6" s="27" t="str"/>
      <x:c r="K6" s="30" t="str">
        <x:v>ca801054-94f2-4b43-82e3-8aff634e9b08</x:v>
      </x:c>
    </x:row>
    <x:row r="7" ht="15" hidden="0" customHeight="1">
      <x:c r="A7" s="26" t="str">
        <x:v>1</x:v>
      </x:c>
      <x:c r="B7" s="27" t="str">
        <x:v>Бар — Администраторы</x:v>
      </x:c>
      <x:c r="C7" s="27" t="str">
        <x:v>Васаби п/ф</x:v>
      </x:c>
      <x:c r="D7" s="27" t="str">
        <x:v>Васаби полуфабрикат</x:v>
      </x:c>
      <x:c r="E7" s="26" t="str">
        <x:v>465</x:v>
      </x:c>
      <x:c r="F7" s="26" t="str">
        <x:v>кг</x:v>
      </x:c>
      <x:c r="G7" s="26" t="str">
        <x:v>Полуфабрикат</x:v>
      </x:c>
      <x:c r="H7" s="29" t="n">
        <x:v>100</x:v>
      </x:c>
      <x:c r="I7" s="28" t="str">
        <x:v>Точное</x:v>
      </x:c>
      <x:c r="J7" s="27" t="str"/>
      <x:c r="K7" s="30" t="str">
        <x:v>76224aa1-15fc-4f92-a60c-5b3b87258ff1</x:v>
      </x:c>
    </x:row>
    <x:row r="8" ht="15" hidden="0" customHeight="1">
      <x:c r="A8" s="26" t="str">
        <x:v>1</x:v>
      </x:c>
      <x:c r="B8" s="27" t="str">
        <x:v>Бар — Администраторы</x:v>
      </x:c>
      <x:c r="C8" s="27" t="str">
        <x:v>Имбирь 1 пачка = 0,7 кг (товар)</x:v>
      </x:c>
      <x:c r="D8" s="27" t="str">
        <x:v>Имбирь</x:v>
      </x:c>
      <x:c r="E8" s="26" t="str">
        <x:v>328</x:v>
      </x:c>
      <x:c r="F8" s="26" t="str">
        <x:v>кг</x:v>
      </x:c>
      <x:c r="G8" s="26" t="str">
        <x:v>Товар</x:v>
      </x:c>
      <x:c r="H8" s="29" t="n">
        <x:v>100</x:v>
      </x:c>
      <x:c r="I8" s="28" t="str">
        <x:v>Точное</x:v>
      </x:c>
      <x:c r="J8" s="27" t="str"/>
      <x:c r="K8" s="30" t="str">
        <x:v>3e2fa5c7-2786-4585-8857-0de9d648dc45</x:v>
      </x:c>
    </x:row>
    <x:row r="9" ht="15" hidden="0" customHeight="1">
      <x:c r="A9" s="26" t="str">
        <x:v>1</x:v>
      </x:c>
      <x:c r="B9" s="27" t="str">
        <x:v>Бар — Администраторы</x:v>
      </x:c>
      <x:c r="C9" s="27" t="str">
        <x:v>Соевый п/ф</x:v>
      </x:c>
      <x:c r="D9" s="27" t="str">
        <x:v>Соевый соус полуфабрикат</x:v>
      </x:c>
      <x:c r="E9" s="26" t="str">
        <x:v>467</x:v>
      </x:c>
      <x:c r="F9" s="26" t="str">
        <x:v>кг</x:v>
      </x:c>
      <x:c r="G9" s="26" t="str">
        <x:v>Полуфабрикат</x:v>
      </x:c>
      <x:c r="H9" s="29" t="n">
        <x:v>100</x:v>
      </x:c>
      <x:c r="I9" s="28" t="str">
        <x:v>Точное</x:v>
      </x:c>
      <x:c r="J9" s="27" t="str"/>
      <x:c r="K9" s="30" t="str">
        <x:v>d33ebbf8-f2fa-43e4-b05d-fb8e3a98b9b3</x:v>
      </x:c>
    </x:row>
    <x:row r="10" ht="15" hidden="0" customHeight="1">
      <x:c r="A10" s="26" t="str">
        <x:v>1</x:v>
      </x:c>
      <x:c r="B10" s="27" t="str">
        <x:v>Бар — Администраторы</x:v>
      </x:c>
      <x:c r="C10" s="27" t="str">
        <x:v>Спайси п/ф</x:v>
      </x:c>
      <x:c r="D10" s="27" t="str">
        <x:v>Спайси соус полуфабрикат</x:v>
      </x:c>
      <x:c r="E10" s="26" t="str">
        <x:v>386</x:v>
      </x:c>
      <x:c r="F10" s="26" t="str">
        <x:v>кг</x:v>
      </x:c>
      <x:c r="G10" s="26" t="str">
        <x:v>Полуфабрикат</x:v>
      </x:c>
      <x:c r="H10" s="29" t="n">
        <x:v>95</x:v>
      </x:c>
      <x:c r="I10" s="28" t="str">
        <x:v>Точное</x:v>
      </x:c>
      <x:c r="J10" s="27" t="str"/>
      <x:c r="K10" s="30" t="str">
        <x:v>158671ea-841d-40ea-9fdf-0d4ad0d40744</x:v>
      </x:c>
    </x:row>
    <x:row r="11" ht="15" hidden="0" customHeight="1">
      <x:c r="A11" s="26" t="str">
        <x:v>1</x:v>
      </x:c>
      <x:c r="B11" s="27" t="str">
        <x:v>Бар — Администраторы</x:v>
      </x:c>
      <x:c r="C11" s="27" t="str">
        <x:v>Терияки товар</x:v>
      </x:c>
      <x:c r="D11" s="27" t="str">
        <x:v>Терияки</x:v>
      </x:c>
      <x:c r="E11" s="26" t="str">
        <x:v>333</x:v>
      </x:c>
      <x:c r="F11" s="26" t="str">
        <x:v>кг</x:v>
      </x:c>
      <x:c r="G11" s="26" t="str">
        <x:v>Товар</x:v>
      </x:c>
      <x:c r="H11" s="29" t="n">
        <x:v>100</x:v>
      </x:c>
      <x:c r="I11" s="28" t="str">
        <x:v>Точное</x:v>
      </x:c>
      <x:c r="J11" s="27" t="str"/>
      <x:c r="K11" s="30" t="str">
        <x:v>7e817df8-56fd-4c2d-8d3d-941dc2620d13</x:v>
      </x:c>
    </x:row>
    <x:row r="12" ht="15" hidden="0" customHeight="1">
      <x:c r="A12" s="26" t="str">
        <x:v>2</x:v>
      </x:c>
      <x:c r="B12" s="27" t="str">
        <x:v>Шаурма — морозильный ларь №2</x:v>
      </x:c>
      <x:c r="C12" s="27" t="str">
        <x:v>Картофель по-деревенски (товар)</x:v>
      </x:c>
      <x:c r="D12" s="27" t="str">
        <x:v>Картофельные дольки</x:v>
      </x:c>
      <x:c r="E12" s="26" t="str">
        <x:v>299</x:v>
      </x:c>
      <x:c r="F12" s="26" t="str">
        <x:v>кг</x:v>
      </x:c>
      <x:c r="G12" s="26" t="str">
        <x:v>Товар</x:v>
      </x:c>
      <x:c r="H12" s="29" t="n">
        <x:v>90</x:v>
      </x:c>
      <x:c r="I12" s="28" t="str">
        <x:v>По смыслу</x:v>
      </x:c>
      <x:c r="J12" s="27" t="str">
        <x:v>В IIKO позиция называется «Картофельные дольки».</x:v>
      </x:c>
      <x:c r="K12" s="30" t="str">
        <x:v>ee7c56f9-8766-46fc-8e84-00218c620bea</x:v>
      </x:c>
    </x:row>
    <x:row r="13" ht="15" hidden="0" customHeight="1">
      <x:c r="A13" s="26" t="str">
        <x:v>2</x:v>
      </x:c>
      <x:c r="B13" s="27" t="str">
        <x:v>Шаурма — морозильный ларь №2</x:v>
      </x:c>
      <x:c r="C13" s="27" t="str">
        <x:v>Картофель фри (товар)</x:v>
      </x:c>
      <x:c r="D13" s="27" t="str">
        <x:v>Картофель фри</x:v>
      </x:c>
      <x:c r="E13" s="26" t="str">
        <x:v>298</x:v>
      </x:c>
      <x:c r="F13" s="26" t="str">
        <x:v>кг</x:v>
      </x:c>
      <x:c r="G13" s="26" t="str">
        <x:v>Товар</x:v>
      </x:c>
      <x:c r="H13" s="29" t="n">
        <x:v>100</x:v>
      </x:c>
      <x:c r="I13" s="28" t="str">
        <x:v>Точное</x:v>
      </x:c>
      <x:c r="J13" s="27" t="str"/>
      <x:c r="K13" s="30" t="str">
        <x:v>18a00587-12c8-4db7-9fdc-41d9d83be0e2</x:v>
      </x:c>
    </x:row>
    <x:row r="14" ht="15" hidden="0" customHeight="1">
      <x:c r="A14" s="26" t="str">
        <x:v>2</x:v>
      </x:c>
      <x:c r="B14" s="27" t="str">
        <x:v>Шаурма — морозильный ларь №2</x:v>
      </x:c>
      <x:c r="C14" s="27" t="str">
        <x:v>Креветка в кляре п/ф (эби-фрай)</x:v>
      </x:c>
      <x:c r="D14" s="27" t="str">
        <x:v>Креветка в кляре</x:v>
      </x:c>
      <x:c r="E14" s="26" t="str">
        <x:v>410</x:v>
      </x:c>
      <x:c r="F14" s="26" t="str">
        <x:v>кг</x:v>
      </x:c>
      <x:c r="G14" s="26" t="str">
        <x:v>Полуфабрикат</x:v>
      </x:c>
      <x:c r="H14" s="29" t="n">
        <x:v>100</x:v>
      </x:c>
      <x:c r="I14" s="28" t="str">
        <x:v>Точное</x:v>
      </x:c>
      <x:c r="J14" s="27" t="str"/>
      <x:c r="K14" s="30" t="str">
        <x:v>25a260e6-cb32-486d-8147-1ed91a9ed7c5</x:v>
      </x:c>
    </x:row>
    <x:row r="15" ht="15" hidden="0" customHeight="1">
      <x:c r="A15" s="26" t="str">
        <x:v>2</x:v>
      </x:c>
      <x:c r="B15" s="27" t="str">
        <x:v>Шаурма — морозильный ларь №2</x:v>
      </x:c>
      <x:c r="C15" s="27" t="str">
        <x:v>Луковые кольца (товар)</x:v>
      </x:c>
      <x:c r="D15" s="27" t="str">
        <x:v>Луковые кольца</x:v>
      </x:c>
      <x:c r="E15" s="26" t="str">
        <x:v>308</x:v>
      </x:c>
      <x:c r="F15" s="26" t="str">
        <x:v>кг</x:v>
      </x:c>
      <x:c r="G15" s="26" t="str">
        <x:v>Товар</x:v>
      </x:c>
      <x:c r="H15" s="29" t="n">
        <x:v>100</x:v>
      </x:c>
      <x:c r="I15" s="28" t="str">
        <x:v>Точное</x:v>
      </x:c>
      <x:c r="J15" s="27" t="str"/>
      <x:c r="K15" s="30" t="str">
        <x:v>e5857f70-0d00-4384-a0f4-4a770e524056</x:v>
      </x:c>
    </x:row>
    <x:row r="16" ht="15" hidden="0" customHeight="1">
      <x:c r="A16" s="26" t="str">
        <x:v>2</x:v>
      </x:c>
      <x:c r="B16" s="27" t="str">
        <x:v>Шаурма — морозильный ларь №2</x:v>
      </x:c>
      <x:c r="C16" s="27" t="str">
        <x:v>Мидии киви (товар)</x:v>
      </x:c>
      <x:c r="D16" s="27" t="str">
        <x:v>мидии киви китай</x:v>
      </x:c>
      <x:c r="E16" s="26" t="str">
        <x:v>1280</x:v>
      </x:c>
      <x:c r="F16" s="26" t="str">
        <x:v>кг</x:v>
      </x:c>
      <x:c r="G16" s="26" t="str">
        <x:v>Товар</x:v>
      </x:c>
      <x:c r="H16" s="29" t="n">
        <x:v>95</x:v>
      </x:c>
      <x:c r="I16" s="28" t="str">
        <x:v>Точное</x:v>
      </x:c>
      <x:c r="J16" s="27" t="str"/>
      <x:c r="K16" s="30" t="str">
        <x:v>830eb72c-1a1c-4d12-a8bd-a69d216cbddf</x:v>
      </x:c>
    </x:row>
    <x:row r="17" ht="15" hidden="0" customHeight="1">
      <x:c r="A17" s="26" t="str">
        <x:v>2</x:v>
      </x:c>
      <x:c r="B17" s="27" t="str">
        <x:v>Шаурма — морозильный ларь №2</x:v>
      </x:c>
      <x:c r="C17" s="27" t="str">
        <x:v>Наггетсы (товар)</x:v>
      </x:c>
      <x:c r="D17" s="27" t="str">
        <x:v>Наггетсы</x:v>
      </x:c>
      <x:c r="E17" s="26" t="str">
        <x:v>348</x:v>
      </x:c>
      <x:c r="F17" s="26" t="str">
        <x:v>кг</x:v>
      </x:c>
      <x:c r="G17" s="26" t="str">
        <x:v>Товар</x:v>
      </x:c>
      <x:c r="H17" s="29" t="n">
        <x:v>100</x:v>
      </x:c>
      <x:c r="I17" s="28" t="str">
        <x:v>Точное</x:v>
      </x:c>
      <x:c r="J17" s="27" t="str"/>
      <x:c r="K17" s="30" t="str">
        <x:v>10180781-6b36-4351-b8b2-2e5ac3eb47ff</x:v>
      </x:c>
    </x:row>
    <x:row r="18" ht="21.600000381469727" hidden="0" customHeight="1">
      <x:c r="A18" s="26" t="str">
        <x:v>2, 11</x:v>
      </x:c>
      <x:c r="B18" s="27" t="str">
        <x:v>Шаурма — морозильный ларь №2; Суши-бар — холодильный шкаф №4 / стол №3</x:v>
      </x:c>
      <x:c r="C18" s="27" t="str">
        <x:v>Стрипсы п/ф</x:v>
      </x:c>
      <x:c r="D18" s="27" t="str">
        <x:v>Телапия стрипсы п.ф.</x:v>
      </x:c>
      <x:c r="E18" s="26" t="str">
        <x:v>653</x:v>
      </x:c>
      <x:c r="F18" s="26" t="str">
        <x:v>кг</x:v>
      </x:c>
      <x:c r="G18" s="26" t="str">
        <x:v>Полуфабрикат</x:v>
      </x:c>
      <x:c r="H18" s="29" t="n">
        <x:v>65</x:v>
      </x:c>
      <x:c r="I18" s="28" t="str">
        <x:v>Требует проверки</x:v>
      </x:c>
      <x:c r="J18" s="27" t="str">
        <x:v>В IIKO найден только п/ф «Телапия стрипсы». Проверить, что на листе имеются в виду именно рыбные стрипсы.</x:v>
      </x:c>
      <x:c r="K18" s="30" t="str">
        <x:v>ded8e50d-9f24-4bc4-a822-213e1d3fb7f2</x:v>
      </x:c>
    </x:row>
    <x:row r="19" ht="21.600000381469727" hidden="0" customHeight="1">
      <x:c r="A19" s="26" t="str">
        <x:v>2</x:v>
      </x:c>
      <x:c r="B19" s="27" t="str">
        <x:v>Шаурма — морозильный ларь №2</x:v>
      </x:c>
      <x:c r="C19" s="27" t="str">
        <x:v>Харумаки (товар)</x:v>
      </x:c>
      <x:c r="D19" s="27" t="str"/>
      <x:c r="E19" s="26" t="str"/>
      <x:c r="F19" s="26" t="str"/>
      <x:c r="G19" s="26" t="str"/>
      <x:c r="H19" s="29" t="n">
        <x:v>0</x:v>
      </x:c>
      <x:c r="I19" s="28" t="str">
        <x:v>Не найдено</x:v>
      </x:c>
      <x:c r="J19" s="27" t="str">
        <x:v>Активной позиции «Харумаки» в справочнике IIKO нет. «Тесто для спринг-роллов» не равно готовому продукту.</x:v>
      </x:c>
      <x:c r="K19" s="30" t="str"/>
    </x:row>
    <x:row r="20" ht="15" hidden="0" customHeight="1">
      <x:c r="A20" s="26" t="str">
        <x:v>3</x:v>
      </x:c>
      <x:c r="B20" s="27" t="str">
        <x:v>Шаурма</x:v>
      </x:c>
      <x:c r="C20" s="27" t="str">
        <x:v>Горчица (товар)</x:v>
      </x:c>
      <x:c r="D20" s="27" t="str">
        <x:v>Горчица</x:v>
      </x:c>
      <x:c r="E20" s="26" t="str">
        <x:v>343</x:v>
      </x:c>
      <x:c r="F20" s="26" t="str">
        <x:v>кг</x:v>
      </x:c>
      <x:c r="G20" s="26" t="str">
        <x:v>Товар</x:v>
      </x:c>
      <x:c r="H20" s="29" t="n">
        <x:v>100</x:v>
      </x:c>
      <x:c r="I20" s="28" t="str">
        <x:v>Точное</x:v>
      </x:c>
      <x:c r="J20" s="27" t="str"/>
      <x:c r="K20" s="30" t="str">
        <x:v>7771faa7-3c53-46b9-97e1-dd4341253765</x:v>
      </x:c>
    </x:row>
    <x:row r="21" ht="15" hidden="0" customHeight="1">
      <x:c r="A21" s="26" t="str">
        <x:v>3</x:v>
      </x:c>
      <x:c r="B21" s="27" t="str">
        <x:v>Шаурма</x:v>
      </x:c>
      <x:c r="C21" s="27" t="str">
        <x:v>Грудка на шаурму п/ф</x:v>
      </x:c>
      <x:c r="D21" s="27" t="str">
        <x:v>Грудка на шаурму</x:v>
      </x:c>
      <x:c r="E21" s="26" t="str">
        <x:v>701</x:v>
      </x:c>
      <x:c r="F21" s="26" t="str">
        <x:v>кг</x:v>
      </x:c>
      <x:c r="G21" s="26" t="str">
        <x:v>Полуфабрикат</x:v>
      </x:c>
      <x:c r="H21" s="29" t="n">
        <x:v>100</x:v>
      </x:c>
      <x:c r="I21" s="28" t="str">
        <x:v>Точное</x:v>
      </x:c>
      <x:c r="J21" s="27" t="str"/>
      <x:c r="K21" s="30" t="str">
        <x:v>d5f5b767-0a7b-4a2b-a344-62be90e37e5e</x:v>
      </x:c>
    </x:row>
    <x:row r="22" ht="15" hidden="0" customHeight="1">
      <x:c r="A22" s="26" t="str">
        <x:v>3</x:v>
      </x:c>
      <x:c r="B22" s="27" t="str">
        <x:v>Шаурма</x:v>
      </x:c>
      <x:c r="C22" s="27" t="str">
        <x:v>Кетчуп (товар)</x:v>
      </x:c>
      <x:c r="D22" s="27" t="str">
        <x:v>Кетчуп</x:v>
      </x:c>
      <x:c r="E22" s="26" t="str">
        <x:v>359</x:v>
      </x:c>
      <x:c r="F22" s="26" t="str">
        <x:v>кг</x:v>
      </x:c>
      <x:c r="G22" s="26" t="str">
        <x:v>Товар</x:v>
      </x:c>
      <x:c r="H22" s="29" t="n">
        <x:v>100</x:v>
      </x:c>
      <x:c r="I22" s="28" t="str">
        <x:v>Точное</x:v>
      </x:c>
      <x:c r="J22" s="27" t="str"/>
      <x:c r="K22" s="30" t="str">
        <x:v>ccac188b-b8b5-4e9d-bf2c-cba0c7aa0c2f</x:v>
      </x:c>
    </x:row>
    <x:row r="23" ht="15" hidden="0" customHeight="1">
      <x:c r="A23" s="26" t="str">
        <x:v>3</x:v>
      </x:c>
      <x:c r="B23" s="27" t="str">
        <x:v>Шаурма</x:v>
      </x:c>
      <x:c r="C23" s="27" t="str">
        <x:v>Кефир 2,5% (товар)</x:v>
      </x:c>
      <x:c r="D23" s="27" t="str">
        <x:v>Кефир</x:v>
      </x:c>
      <x:c r="E23" s="26" t="str">
        <x:v>360</x:v>
      </x:c>
      <x:c r="F23" s="26" t="str">
        <x:v>л</x:v>
      </x:c>
      <x:c r="G23" s="26" t="str">
        <x:v>Товар</x:v>
      </x:c>
      <x:c r="H23" s="29" t="n">
        <x:v>90</x:v>
      </x:c>
      <x:c r="I23" s="28" t="str">
        <x:v>По смыслу</x:v>
      </x:c>
      <x:c r="J23" s="27" t="str"/>
      <x:c r="K23" s="30" t="str">
        <x:v>42f16ac9-4170-4a34-90ae-63757d148d0b</x:v>
      </x:c>
    </x:row>
    <x:row r="24" ht="15" hidden="0" customHeight="1">
      <x:c r="A24" s="26" t="str">
        <x:v>3</x:v>
      </x:c>
      <x:c r="B24" s="27" t="str">
        <x:v>Шаурма</x:v>
      </x:c>
      <x:c r="C24" s="27" t="str">
        <x:v>Кориандр (товар)</x:v>
      </x:c>
      <x:c r="D24" s="27" t="str">
        <x:v>Кориандр</x:v>
      </x:c>
      <x:c r="E24" s="26" t="str">
        <x:v>423</x:v>
      </x:c>
      <x:c r="F24" s="26" t="str">
        <x:v>кг</x:v>
      </x:c>
      <x:c r="G24" s="26" t="str">
        <x:v>Товар</x:v>
      </x:c>
      <x:c r="H24" s="29" t="n">
        <x:v>100</x:v>
      </x:c>
      <x:c r="I24" s="28" t="str">
        <x:v>Точное</x:v>
      </x:c>
      <x:c r="J24" s="27" t="str"/>
      <x:c r="K24" s="30" t="str">
        <x:v>33ceb5ba-d63f-477a-9df8-da4eb3052cbe</x:v>
      </x:c>
    </x:row>
    <x:row r="25" ht="15" hidden="0" customHeight="1">
      <x:c r="A25" s="26" t="str">
        <x:v>3</x:v>
      </x:c>
      <x:c r="B25" s="27" t="str">
        <x:v>Шаурма</x:v>
      </x:c>
      <x:c r="C25" s="27" t="str">
        <x:v>Куриное филе заморозка (товар)</x:v>
      </x:c>
      <x:c r="D25" s="27" t="str">
        <x:v>Куриное филе бедра</x:v>
      </x:c>
      <x:c r="E25" s="26" t="str">
        <x:v>1252</x:v>
      </x:c>
      <x:c r="F25" s="26" t="str">
        <x:v>кг</x:v>
      </x:c>
      <x:c r="G25" s="26" t="str">
        <x:v>Товар</x:v>
      </x:c>
      <x:c r="H25" s="29" t="n">
        <x:v>70</x:v>
      </x:c>
      <x:c r="I25" s="28" t="str">
        <x:v>Требует проверки</x:v>
      </x:c>
      <x:c r="J25" s="27" t="str">
        <x:v>Сопоставлено с «Куриное филе бедра»; проверить, совпадает ли требуемая часть филе.</x:v>
      </x:c>
      <x:c r="K25" s="30" t="str">
        <x:v>cb340cc1-7f6d-48e3-ba0b-dc66e509887a</x:v>
      </x:c>
    </x:row>
    <x:row r="26" ht="15" hidden="0" customHeight="1">
      <x:c r="A26" s="26" t="str">
        <x:v>3</x:v>
      </x:c>
      <x:c r="B26" s="27" t="str">
        <x:v>Шаурма</x:v>
      </x:c>
      <x:c r="C26" s="27" t="str">
        <x:v>Морковь (товар)</x:v>
      </x:c>
      <x:c r="D26" s="27" t="str">
        <x:v>Морковь</x:v>
      </x:c>
      <x:c r="E26" s="26" t="str">
        <x:v>369</x:v>
      </x:c>
      <x:c r="F26" s="26" t="str">
        <x:v>кг</x:v>
      </x:c>
      <x:c r="G26" s="26" t="str">
        <x:v>Товар</x:v>
      </x:c>
      <x:c r="H26" s="29" t="n">
        <x:v>100</x:v>
      </x:c>
      <x:c r="I26" s="28" t="str">
        <x:v>Точное</x:v>
      </x:c>
      <x:c r="J26" s="27" t="str"/>
      <x:c r="K26" s="30" t="str">
        <x:v>3b1be2a8-6667-486f-b5a7-60a34369868f</x:v>
      </x:c>
    </x:row>
    <x:row r="27" ht="15" hidden="0" customHeight="1">
      <x:c r="A27" s="26" t="str">
        <x:v>3</x:v>
      </x:c>
      <x:c r="B27" s="27" t="str">
        <x:v>Шаурма</x:v>
      </x:c>
      <x:c r="C27" s="27" t="str">
        <x:v>Морковь по-корейски п/ф</x:v>
      </x:c>
      <x:c r="D27" s="27" t="str">
        <x:v>Морковь по-корейски полуфабрикат</x:v>
      </x:c>
      <x:c r="E27" s="26" t="str">
        <x:v>425</x:v>
      </x:c>
      <x:c r="F27" s="26" t="str">
        <x:v>кг</x:v>
      </x:c>
      <x:c r="G27" s="26" t="str">
        <x:v>Полуфабрикат</x:v>
      </x:c>
      <x:c r="H27" s="29" t="n">
        <x:v>100</x:v>
      </x:c>
      <x:c r="I27" s="28" t="str">
        <x:v>Точное</x:v>
      </x:c>
      <x:c r="J27" s="27" t="str"/>
      <x:c r="K27" s="30" t="str">
        <x:v>7b120814-c975-4c14-a548-91f4639699a1</x:v>
      </x:c>
    </x:row>
    <x:row r="28" ht="15" hidden="0" customHeight="1">
      <x:c r="A28" s="26" t="str">
        <x:v>3</x:v>
      </x:c>
      <x:c r="B28" s="27" t="str">
        <x:v>Шаурма</x:v>
      </x:c>
      <x:c r="C28" s="27" t="str">
        <x:v>Морс клюква (товар)</x:v>
      </x:c>
      <x:c r="D28" s="27" t="str">
        <x:v>Морс клюква концентрат</x:v>
      </x:c>
      <x:c r="E28" s="26" t="str">
        <x:v>355</x:v>
      </x:c>
      <x:c r="F28" s="26" t="str">
        <x:v>кг</x:v>
      </x:c>
      <x:c r="G28" s="26" t="str">
        <x:v>Товар</x:v>
      </x:c>
      <x:c r="H28" s="29" t="n">
        <x:v>90</x:v>
      </x:c>
      <x:c r="I28" s="28" t="str">
        <x:v>По смыслу</x:v>
      </x:c>
      <x:c r="J28" s="27" t="str">
        <x:v>Как товар в IIKO заведён концентрат; готовый морс существует отдельно как п/ф.</x:v>
      </x:c>
      <x:c r="K28" s="30" t="str">
        <x:v>5ef6e802-793a-4382-ab25-79065894cbce</x:v>
      </x:c>
    </x:row>
    <x:row r="29" ht="15" hidden="0" customHeight="1">
      <x:c r="A29" s="26" t="str">
        <x:v>3</x:v>
      </x:c>
      <x:c r="B29" s="27" t="str">
        <x:v>Шаурма</x:v>
      </x:c>
      <x:c r="C29" s="27" t="str">
        <x:v>Морс облепиха (товар)</x:v>
      </x:c>
      <x:c r="D29" s="27" t="str">
        <x:v>Морс облепиха концентрат</x:v>
      </x:c>
      <x:c r="E29" s="26" t="str">
        <x:v>356</x:v>
      </x:c>
      <x:c r="F29" s="26" t="str">
        <x:v>кг</x:v>
      </x:c>
      <x:c r="G29" s="26" t="str">
        <x:v>Товар</x:v>
      </x:c>
      <x:c r="H29" s="29" t="n">
        <x:v>90</x:v>
      </x:c>
      <x:c r="I29" s="28" t="str">
        <x:v>По смыслу</x:v>
      </x:c>
      <x:c r="J29" s="27" t="str">
        <x:v>Как товар в IIKO заведён концентрат; готовый морс существует отдельно как п/ф.</x:v>
      </x:c>
      <x:c r="K29" s="30" t="str">
        <x:v>2234b8a4-5a8d-43fd-99f3-9a5a2cf9ec2a</x:v>
      </x:c>
    </x:row>
    <x:row r="30" ht="15" hidden="0" customHeight="1">
      <x:c r="A30" s="26" t="str">
        <x:v>3</x:v>
      </x:c>
      <x:c r="B30" s="27" t="str">
        <x:v>Шаурма</x:v>
      </x:c>
      <x:c r="C30" s="27" t="str">
        <x:v>Морс смородина (товар)</x:v>
      </x:c>
      <x:c r="D30" s="27" t="str">
        <x:v>Морс смородина концентрат</x:v>
      </x:c>
      <x:c r="E30" s="26" t="str">
        <x:v>354</x:v>
      </x:c>
      <x:c r="F30" s="26" t="str">
        <x:v>кг</x:v>
      </x:c>
      <x:c r="G30" s="26" t="str">
        <x:v>Товар</x:v>
      </x:c>
      <x:c r="H30" s="29" t="n">
        <x:v>90</x:v>
      </x:c>
      <x:c r="I30" s="28" t="str">
        <x:v>По смыслу</x:v>
      </x:c>
      <x:c r="J30" s="27" t="str">
        <x:v>Как товар в IIKO заведён концентрат; готовый морс существует отдельно как п/ф.</x:v>
      </x:c>
      <x:c r="K30" s="30" t="str">
        <x:v>12f57c4b-dde6-4d14-8d35-91e9acc965bf</x:v>
      </x:c>
    </x:row>
    <x:row r="31" ht="15" hidden="0" customHeight="1">
      <x:c r="A31" s="26" t="str">
        <x:v>3</x:v>
      </x:c>
      <x:c r="B31" s="27" t="str">
        <x:v>Шаурма</x:v>
      </x:c>
      <x:c r="C31" s="27" t="str">
        <x:v>Огурцы (товар)</x:v>
      </x:c>
      <x:c r="D31" s="27" t="str">
        <x:v>Огурцы</x:v>
      </x:c>
      <x:c r="E31" s="26" t="str">
        <x:v>370</x:v>
      </x:c>
      <x:c r="F31" s="26" t="str">
        <x:v>кг</x:v>
      </x:c>
      <x:c r="G31" s="26" t="str">
        <x:v>Товар</x:v>
      </x:c>
      <x:c r="H31" s="29" t="n">
        <x:v>100</x:v>
      </x:c>
      <x:c r="I31" s="28" t="str">
        <x:v>Точное</x:v>
      </x:c>
      <x:c r="J31" s="27" t="str"/>
      <x:c r="K31" s="30" t="str">
        <x:v>84a4776c-f0a3-4150-bc22-ac42d3edba49</x:v>
      </x:c>
    </x:row>
    <x:row r="32" ht="15" hidden="0" customHeight="1">
      <x:c r="A32" s="26" t="str">
        <x:v>3</x:v>
      </x:c>
      <x:c r="B32" s="27" t="str">
        <x:v>Шаурма</x:v>
      </x:c>
      <x:c r="C32" s="27" t="str">
        <x:v>Пекинка (товар)</x:v>
      </x:c>
      <x:c r="D32" s="27" t="str">
        <x:v>Пекинская капуста</x:v>
      </x:c>
      <x:c r="E32" s="26" t="str">
        <x:v>371</x:v>
      </x:c>
      <x:c r="F32" s="26" t="str">
        <x:v>кг</x:v>
      </x:c>
      <x:c r="G32" s="26" t="str">
        <x:v>Товар</x:v>
      </x:c>
      <x:c r="H32" s="29" t="n">
        <x:v>95</x:v>
      </x:c>
      <x:c r="I32" s="28" t="str">
        <x:v>Точное</x:v>
      </x:c>
      <x:c r="J32" s="27" t="str">
        <x:v>Пекинка = пекинская капуста.</x:v>
      </x:c>
      <x:c r="K32" s="30" t="str">
        <x:v>ae816ac2-d57f-4c67-9d13-f8cc98e61c06</x:v>
      </x:c>
    </x:row>
    <x:row r="33" ht="15" hidden="0" customHeight="1">
      <x:c r="A33" s="26" t="str">
        <x:v>3, 6</x:v>
      </x:c>
      <x:c r="B33" s="27" t="str">
        <x:v>Шаурма; Пицца — холодильный шкаф №6 / стол №5</x:v>
      </x:c>
      <x:c r="C33" s="27" t="str">
        <x:v>Помидоры (товар)</x:v>
      </x:c>
      <x:c r="D33" s="27" t="str">
        <x:v>Помидоры</x:v>
      </x:c>
      <x:c r="E33" s="26" t="str">
        <x:v>373</x:v>
      </x:c>
      <x:c r="F33" s="26" t="str">
        <x:v>кг</x:v>
      </x:c>
      <x:c r="G33" s="26" t="str">
        <x:v>Товар</x:v>
      </x:c>
      <x:c r="H33" s="29" t="n">
        <x:v>100</x:v>
      </x:c>
      <x:c r="I33" s="28" t="str">
        <x:v>Точное</x:v>
      </x:c>
      <x:c r="J33" s="27" t="str"/>
      <x:c r="K33" s="30" t="str">
        <x:v>dc0bc343-98af-4723-8c05-b7d61fc51d8a</x:v>
      </x:c>
    </x:row>
    <x:row r="34" ht="15" hidden="0" customHeight="1">
      <x:c r="A34" s="26" t="str">
        <x:v>3</x:v>
      </x:c>
      <x:c r="B34" s="27" t="str">
        <x:v>Шаурма</x:v>
      </x:c>
      <x:c r="C34" s="27" t="str">
        <x:v>Приправа для корейской моркови (товар)</x:v>
      </x:c>
      <x:c r="D34" s="27" t="str">
        <x:v>Приправа для моркови</x:v>
      </x:c>
      <x:c r="E34" s="26" t="str">
        <x:v>424</x:v>
      </x:c>
      <x:c r="F34" s="26" t="str">
        <x:v>кг</x:v>
      </x:c>
      <x:c r="G34" s="26" t="str">
        <x:v>Товар</x:v>
      </x:c>
      <x:c r="H34" s="29" t="n">
        <x:v>95</x:v>
      </x:c>
      <x:c r="I34" s="28" t="str">
        <x:v>Точное</x:v>
      </x:c>
      <x:c r="J34" s="27" t="str"/>
      <x:c r="K34" s="30" t="str">
        <x:v>4c287060-6288-4d2f-a211-a96d4fc48be8</x:v>
      </x:c>
    </x:row>
    <x:row r="35" ht="15" hidden="0" customHeight="1">
      <x:c r="A35" s="26" t="str">
        <x:v>3, 16</x:v>
      </x:c>
      <x:c r="B35" s="27" t="str">
        <x:v>Шаурма; Сухой склад</x:v>
      </x:c>
      <x:c r="C35" s="27" t="str">
        <x:v>Сладкий чили (товар)</x:v>
      </x:c>
      <x:c r="D35" s="27" t="str">
        <x:v>Сладкий чили</x:v>
      </x:c>
      <x:c r="E35" s="26" t="str">
        <x:v>330</x:v>
      </x:c>
      <x:c r="F35" s="26" t="str">
        <x:v>кг</x:v>
      </x:c>
      <x:c r="G35" s="26" t="str">
        <x:v>Товар</x:v>
      </x:c>
      <x:c r="H35" s="29" t="n">
        <x:v>100</x:v>
      </x:c>
      <x:c r="I35" s="28" t="str">
        <x:v>Точное</x:v>
      </x:c>
      <x:c r="J35" s="27" t="str"/>
      <x:c r="K35" s="30" t="str">
        <x:v>ba34b1bc-33d4-400b-813a-b363418b3168</x:v>
      </x:c>
    </x:row>
    <x:row r="36" ht="32.400001525878906" hidden="0" customHeight="1">
      <x:c r="A36" s="26" t="str">
        <x:v>3, 7, 12, 15</x:v>
      </x:c>
      <x:c r="B36" s="27" t="str">
        <x:v>Шаурма; Пицца — холодильный шкаф №6 / стол №5; Суши-бар — холодильный шкаф №4 / стол №3; Сухой склад</x:v>
      </x:c>
      <x:c r="C36" s="27" t="str">
        <x:v>Соус терияки (товар)</x:v>
      </x:c>
      <x:c r="D36" s="27" t="str">
        <x:v>Терияки</x:v>
      </x:c>
      <x:c r="E36" s="26" t="str">
        <x:v>333</x:v>
      </x:c>
      <x:c r="F36" s="26" t="str">
        <x:v>кг</x:v>
      </x:c>
      <x:c r="G36" s="26" t="str">
        <x:v>Товар</x:v>
      </x:c>
      <x:c r="H36" s="29" t="n">
        <x:v>95</x:v>
      </x:c>
      <x:c r="I36" s="28" t="str">
        <x:v>Точное</x:v>
      </x:c>
      <x:c r="J36" s="27" t="str"/>
      <x:c r="K36" s="30" t="str">
        <x:v>7e817df8-56fd-4c2d-8d3d-941dc2620d13</x:v>
      </x:c>
    </x:row>
    <x:row r="37" ht="15" hidden="0" customHeight="1">
      <x:c r="A37" s="26" t="str">
        <x:v>3</x:v>
      </x:c>
      <x:c r="B37" s="27" t="str">
        <x:v>Шаурма</x:v>
      </x:c>
      <x:c r="C37" s="27" t="str">
        <x:v>Сумах (товар)</x:v>
      </x:c>
      <x:c r="D37" s="27" t="str">
        <x:v>Сумах</x:v>
      </x:c>
      <x:c r="E37" s="26" t="str">
        <x:v>420</x:v>
      </x:c>
      <x:c r="F37" s="26" t="str">
        <x:v>кг</x:v>
      </x:c>
      <x:c r="G37" s="26" t="str">
        <x:v>Товар</x:v>
      </x:c>
      <x:c r="H37" s="29" t="n">
        <x:v>100</x:v>
      </x:c>
      <x:c r="I37" s="28" t="str">
        <x:v>Точное</x:v>
      </x:c>
      <x:c r="J37" s="27" t="str"/>
      <x:c r="K37" s="30" t="str">
        <x:v>c6ddaad9-5d11-47f4-9466-84c3086d29e5</x:v>
      </x:c>
    </x:row>
    <x:row r="38" ht="15" hidden="0" customHeight="1">
      <x:c r="A38" s="26" t="str">
        <x:v>3</x:v>
      </x:c>
      <x:c r="B38" s="27" t="str">
        <x:v>Шаурма</x:v>
      </x:c>
      <x:c r="C38" s="27" t="str">
        <x:v>Уксус 9% (товар)</x:v>
      </x:c>
      <x:c r="D38" s="27" t="str">
        <x:v>Уксус</x:v>
      </x:c>
      <x:c r="E38" s="26" t="str">
        <x:v>380</x:v>
      </x:c>
      <x:c r="F38" s="26" t="str">
        <x:v>л</x:v>
      </x:c>
      <x:c r="G38" s="26" t="str">
        <x:v>Товар</x:v>
      </x:c>
      <x:c r="H38" s="29" t="n">
        <x:v>90</x:v>
      </x:c>
      <x:c r="I38" s="28" t="str">
        <x:v>По смыслу</x:v>
      </x:c>
      <x:c r="J38" s="27" t="str"/>
      <x:c r="K38" s="30" t="str">
        <x:v>5316c104-2409-464d-8e86-2d192776dc06</x:v>
      </x:c>
    </x:row>
    <x:row r="39" ht="15" hidden="0" customHeight="1">
      <x:c r="A39" s="26" t="str">
        <x:v>3</x:v>
      </x:c>
      <x:c r="B39" s="27" t="str">
        <x:v>Шаурма</x:v>
      </x:c>
      <x:c r="C39" s="27" t="str">
        <x:v>Шампиньоны (товар)</x:v>
      </x:c>
      <x:c r="D39" s="27" t="str">
        <x:v>Шампиньоны</x:v>
      </x:c>
      <x:c r="E39" s="26" t="str">
        <x:v>381</x:v>
      </x:c>
      <x:c r="F39" s="26" t="str">
        <x:v>кг</x:v>
      </x:c>
      <x:c r="G39" s="26" t="str">
        <x:v>Товар</x:v>
      </x:c>
      <x:c r="H39" s="29" t="n">
        <x:v>100</x:v>
      </x:c>
      <x:c r="I39" s="28" t="str">
        <x:v>Точное</x:v>
      </x:c>
      <x:c r="J39" s="27" t="str"/>
      <x:c r="K39" s="30" t="str">
        <x:v>a4062203-2a05-485d-ae1b-01045f7fce89</x:v>
      </x:c>
    </x:row>
    <x:row r="40" ht="15" hidden="0" customHeight="1">
      <x:c r="A40" s="26" t="str">
        <x:v>4</x:v>
      </x:c>
      <x:c r="B40" s="27" t="str">
        <x:v>Шаурма</x:v>
      </x:c>
      <x:c r="C40" s="27" t="str">
        <x:v>Ананасы (товар)</x:v>
      </x:c>
      <x:c r="D40" s="27" t="str">
        <x:v>Ананасы</x:v>
      </x:c>
      <x:c r="E40" s="26" t="str">
        <x:v>473</x:v>
      </x:c>
      <x:c r="F40" s="26" t="str">
        <x:v>кг</x:v>
      </x:c>
      <x:c r="G40" s="26" t="str">
        <x:v>Товар</x:v>
      </x:c>
      <x:c r="H40" s="29" t="n">
        <x:v>100</x:v>
      </x:c>
      <x:c r="I40" s="28" t="str">
        <x:v>Точное</x:v>
      </x:c>
      <x:c r="J40" s="27" t="str"/>
      <x:c r="K40" s="30" t="str">
        <x:v>41b4f778-88a7-45ac-bcba-18c949a801cb</x:v>
      </x:c>
    </x:row>
    <x:row r="41" ht="15" hidden="0" customHeight="1">
      <x:c r="A41" s="26" t="str">
        <x:v>4</x:v>
      </x:c>
      <x:c r="B41" s="27" t="str">
        <x:v>Шаурма</x:v>
      </x:c>
      <x:c r="C41" s="27" t="str">
        <x:v>Апельсин (товар)</x:v>
      </x:c>
      <x:c r="D41" s="27" t="str">
        <x:v>Апельсины</x:v>
      </x:c>
      <x:c r="E41" s="26" t="str">
        <x:v>513</x:v>
      </x:c>
      <x:c r="F41" s="26" t="str">
        <x:v>кг</x:v>
      </x:c>
      <x:c r="G41" s="26" t="str">
        <x:v>Товар</x:v>
      </x:c>
      <x:c r="H41" s="29" t="n">
        <x:v>95</x:v>
      </x:c>
      <x:c r="I41" s="28" t="str">
        <x:v>Точное</x:v>
      </x:c>
      <x:c r="J41" s="27" t="str"/>
      <x:c r="K41" s="30" t="str">
        <x:v>dd8d0600-6770-4183-a347-0260e8073734</x:v>
      </x:c>
    </x:row>
    <x:row r="42" ht="15" hidden="0" customHeight="1">
      <x:c r="A42" s="26" t="str">
        <x:v>4</x:v>
      </x:c>
      <x:c r="B42" s="27" t="str">
        <x:v>Шаурма</x:v>
      </x:c>
      <x:c r="C42" s="27" t="str">
        <x:v>Банан (товар)</x:v>
      </x:c>
      <x:c r="D42" s="27" t="str">
        <x:v>банан</x:v>
      </x:c>
      <x:c r="E42" s="26" t="str">
        <x:v>1326</x:v>
      </x:c>
      <x:c r="F42" s="26" t="str">
        <x:v>кг</x:v>
      </x:c>
      <x:c r="G42" s="26" t="str">
        <x:v>Товар</x:v>
      </x:c>
      <x:c r="H42" s="29" t="n">
        <x:v>100</x:v>
      </x:c>
      <x:c r="I42" s="28" t="str">
        <x:v>Точное</x:v>
      </x:c>
      <x:c r="J42" s="27" t="str"/>
      <x:c r="K42" s="30" t="str">
        <x:v>21d9e19c-a9c1-483e-a135-b23cef53d3c9</x:v>
      </x:c>
    </x:row>
    <x:row r="43" ht="21.600000381469727" hidden="0" customHeight="1">
      <x:c r="A43" s="26" t="str">
        <x:v>4, 6, 9</x:v>
      </x:c>
      <x:c r="B43" s="27" t="str">
        <x:v>Шаурма; Пицца — холодильный шкаф №6 / стол №5; Пицца — морозильный ларь №1</x:v>
      </x:c>
      <x:c r="C43" s="27" t="str">
        <x:v>Бекон (товар)</x:v>
      </x:c>
      <x:c r="D43" s="27" t="str">
        <x:v>Бекон</x:v>
      </x:c>
      <x:c r="E43" s="26" t="str">
        <x:v>341</x:v>
      </x:c>
      <x:c r="F43" s="26" t="str">
        <x:v>кг</x:v>
      </x:c>
      <x:c r="G43" s="26" t="str">
        <x:v>Товар</x:v>
      </x:c>
      <x:c r="H43" s="29" t="n">
        <x:v>100</x:v>
      </x:c>
      <x:c r="I43" s="28" t="str">
        <x:v>Точное</x:v>
      </x:c>
      <x:c r="J43" s="27" t="str"/>
      <x:c r="K43" s="30" t="str">
        <x:v>d0ffb372-2e9e-44a7-a256-4e7263535289</x:v>
      </x:c>
    </x:row>
    <x:row r="44" ht="21.600000381469727" hidden="0" customHeight="1">
      <x:c r="A44" s="26" t="str">
        <x:v>4</x:v>
      </x:c>
      <x:c r="B44" s="27" t="str">
        <x:v>Шаурма</x:v>
      </x:c>
      <x:c r="C44" s="27" t="str">
        <x:v>Грудка маринованная п/ф</x:v>
      </x:c>
      <x:c r="D44" s="27" t="str">
        <x:v>Грудка на шаурму</x:v>
      </x:c>
      <x:c r="E44" s="26" t="str">
        <x:v>701</x:v>
      </x:c>
      <x:c r="F44" s="26" t="str">
        <x:v>кг</x:v>
      </x:c>
      <x:c r="G44" s="26" t="str">
        <x:v>Полуфабрикат</x:v>
      </x:c>
      <x:c r="H44" s="29" t="n">
        <x:v>65</x:v>
      </x:c>
      <x:c r="I44" s="28" t="str">
        <x:v>Требует проверки</x:v>
      </x:c>
      <x:c r="J44" s="27" t="str">
        <x:v>Ближайший активный п/ф в IIKO — «Грудка на шаурму». Проверить, не нужны ли две разные стадии заготовки.</x:v>
      </x:c>
      <x:c r="K44" s="30" t="str">
        <x:v>d5f5b767-0a7b-4a2b-a344-62be90e37e5e</x:v>
      </x:c>
    </x:row>
    <x:row r="45" ht="15" hidden="0" customHeight="1">
      <x:c r="A45" s="26" t="str">
        <x:v>4</x:v>
      </x:c>
      <x:c r="B45" s="27" t="str">
        <x:v>Шаурма</x:v>
      </x:c>
      <x:c r="C45" s="27" t="str">
        <x:v>Киви (товар)</x:v>
      </x:c>
      <x:c r="D45" s="27" t="str">
        <x:v>Киви</x:v>
      </x:c>
      <x:c r="E45" s="26" t="str">
        <x:v>1109</x:v>
      </x:c>
      <x:c r="F45" s="26" t="str">
        <x:v>кг</x:v>
      </x:c>
      <x:c r="G45" s="26" t="str">
        <x:v>Товар</x:v>
      </x:c>
      <x:c r="H45" s="29" t="n">
        <x:v>100</x:v>
      </x:c>
      <x:c r="I45" s="28" t="str">
        <x:v>Точное</x:v>
      </x:c>
      <x:c r="J45" s="27" t="str"/>
      <x:c r="K45" s="30" t="str">
        <x:v>659dc69d-4ab3-4d03-9a46-5c3ffa7624b3</x:v>
      </x:c>
    </x:row>
    <x:row r="46" ht="21.600000381469727" hidden="0" customHeight="1">
      <x:c r="A46" s="26" t="str">
        <x:v>4</x:v>
      </x:c>
      <x:c r="B46" s="27" t="str">
        <x:v>Шаурма</x:v>
      </x:c>
      <x:c r="C46" s="27" t="str">
        <x:v>Креветка вакуум п/ф</x:v>
      </x:c>
      <x:c r="D46" s="27" t="str">
        <x:v>маринованная креветка</x:v>
      </x:c>
      <x:c r="E46" s="26" t="str">
        <x:v>973</x:v>
      </x:c>
      <x:c r="F46" s="26" t="str">
        <x:v>кг</x:v>
      </x:c>
      <x:c r="G46" s="26" t="str">
        <x:v>Полуфабрикат</x:v>
      </x:c>
      <x:c r="H46" s="29" t="n">
        <x:v>65</x:v>
      </x:c>
      <x:c r="I46" s="28" t="str">
        <x:v>Требует проверки</x:v>
      </x:c>
      <x:c r="J46" s="27" t="str">
        <x:v>Предположительно вакуумированный вариант п/ф «маринованная креветка»; отдельной позиции «креветка вакуум» в IIKO нет.</x:v>
      </x:c>
      <x:c r="K46" s="30" t="str">
        <x:v>134faef6-0a4f-4cd7-81ef-f34496df4cce</x:v>
      </x:c>
    </x:row>
    <x:row r="47" ht="15" hidden="0" customHeight="1">
      <x:c r="A47" s="26" t="str">
        <x:v>4</x:v>
      </x:c>
      <x:c r="B47" s="27" t="str">
        <x:v>Шаурма</x:v>
      </x:c>
      <x:c r="C47" s="27" t="str">
        <x:v>Креветка маринованная шаурма п/ф</x:v>
      </x:c>
      <x:c r="D47" s="27" t="str">
        <x:v>маринованная креветка</x:v>
      </x:c>
      <x:c r="E47" s="26" t="str">
        <x:v>973</x:v>
      </x:c>
      <x:c r="F47" s="26" t="str">
        <x:v>кг</x:v>
      </x:c>
      <x:c r="G47" s="26" t="str">
        <x:v>Полуфабрикат</x:v>
      </x:c>
      <x:c r="H47" s="29" t="n">
        <x:v>90</x:v>
      </x:c>
      <x:c r="I47" s="28" t="str">
        <x:v>По смыслу</x:v>
      </x:c>
      <x:c r="J47" s="27" t="str"/>
      <x:c r="K47" s="30" t="str">
        <x:v>134faef6-0a4f-4cd7-81ef-f34496df4cce</x:v>
      </x:c>
    </x:row>
    <x:row r="48" ht="15" hidden="0" customHeight="1">
      <x:c r="A48" s="26" t="str">
        <x:v>4</x:v>
      </x:c>
      <x:c r="B48" s="27" t="str">
        <x:v>Шаурма</x:v>
      </x:c>
      <x:c r="C48" s="27" t="str">
        <x:v>Лаваши (товар)</x:v>
      </x:c>
      <x:c r="D48" s="27" t="str">
        <x:v>Лаваш</x:v>
      </x:c>
      <x:c r="E48" s="26" t="str">
        <x:v>483</x:v>
      </x:c>
      <x:c r="F48" s="26" t="str">
        <x:v>шт</x:v>
      </x:c>
      <x:c r="G48" s="26" t="str">
        <x:v>Товар</x:v>
      </x:c>
      <x:c r="H48" s="29" t="n">
        <x:v>95</x:v>
      </x:c>
      <x:c r="I48" s="28" t="str">
        <x:v>Точное</x:v>
      </x:c>
      <x:c r="J48" s="27" t="str"/>
      <x:c r="K48" s="30" t="str">
        <x:v>1ee549ef-209d-43bc-a75b-31e4efec2723</x:v>
      </x:c>
    </x:row>
    <x:row r="49" ht="15" hidden="0" customHeight="1">
      <x:c r="A49" s="26" t="str">
        <x:v>4</x:v>
      </x:c>
      <x:c r="B49" s="27" t="str">
        <x:v>Шаурма</x:v>
      </x:c>
      <x:c r="C49" s="27" t="str">
        <x:v>Лимон (товар)</x:v>
      </x:c>
      <x:c r="D49" s="27" t="str">
        <x:v>Лимон</x:v>
      </x:c>
      <x:c r="E49" s="26" t="str">
        <x:v>362</x:v>
      </x:c>
      <x:c r="F49" s="26" t="str">
        <x:v>кг</x:v>
      </x:c>
      <x:c r="G49" s="26" t="str">
        <x:v>Товар</x:v>
      </x:c>
      <x:c r="H49" s="29" t="n">
        <x:v>100</x:v>
      </x:c>
      <x:c r="I49" s="28" t="str">
        <x:v>Точное</x:v>
      </x:c>
      <x:c r="J49" s="27" t="str"/>
      <x:c r="K49" s="30" t="str">
        <x:v>dc9e49d0-2686-4165-835f-50107e79ca6f</x:v>
      </x:c>
    </x:row>
    <x:row r="50" ht="15" hidden="0" customHeight="1">
      <x:c r="A50" s="26" t="str">
        <x:v>4</x:v>
      </x:c>
      <x:c r="B50" s="27" t="str">
        <x:v>Шаурма</x:v>
      </x:c>
      <x:c r="C50" s="27" t="str">
        <x:v>Лук маринованный п/ф</x:v>
      </x:c>
      <x:c r="D50" s="27" t="str">
        <x:v>Маринованный лук</x:v>
      </x:c>
      <x:c r="E50" s="26" t="str">
        <x:v>421</x:v>
      </x:c>
      <x:c r="F50" s="26" t="str">
        <x:v>кг</x:v>
      </x:c>
      <x:c r="G50" s="26" t="str">
        <x:v>Полуфабрикат</x:v>
      </x:c>
      <x:c r="H50" s="29" t="n">
        <x:v>95</x:v>
      </x:c>
      <x:c r="I50" s="28" t="str">
        <x:v>Точное</x:v>
      </x:c>
      <x:c r="J50" s="27" t="str"/>
      <x:c r="K50" s="30" t="str">
        <x:v>d8d31ed3-6374-440a-b2b1-95e19e668066</x:v>
      </x:c>
    </x:row>
    <x:row r="51" ht="15" hidden="0" customHeight="1">
      <x:c r="A51" s="26" t="str">
        <x:v>4, 17</x:v>
      </x:c>
      <x:c r="B51" s="27" t="str">
        <x:v>Шаурма; Заготовочный цех</x:v>
      </x:c>
      <x:c r="C51" s="27" t="str">
        <x:v>Масло растительное (товар)</x:v>
      </x:c>
      <x:c r="D51" s="27" t="str">
        <x:v>Масло растительное</x:v>
      </x:c>
      <x:c r="E51" s="26" t="str">
        <x:v>367</x:v>
      </x:c>
      <x:c r="F51" s="26" t="str">
        <x:v>л</x:v>
      </x:c>
      <x:c r="G51" s="26" t="str">
        <x:v>Товар</x:v>
      </x:c>
      <x:c r="H51" s="29" t="n">
        <x:v>100</x:v>
      </x:c>
      <x:c r="I51" s="28" t="str">
        <x:v>Точное</x:v>
      </x:c>
      <x:c r="J51" s="27" t="str"/>
      <x:c r="K51" s="30" t="str">
        <x:v>c33018ee-a46d-4bfc-b224-3b62a1f69dd0</x:v>
      </x:c>
    </x:row>
    <x:row r="52" ht="15" hidden="0" customHeight="1">
      <x:c r="A52" s="26" t="str">
        <x:v>4, 15</x:v>
      </x:c>
      <x:c r="B52" s="27" t="str">
        <x:v>Шаурма; Сухой склад</x:v>
      </x:c>
      <x:c r="C52" s="27" t="str">
        <x:v>Перец халапеньо (товар)</x:v>
      </x:c>
      <x:c r="D52" s="27" t="str">
        <x:v>Халапеньо товар</x:v>
      </x:c>
      <x:c r="E52" s="26" t="str">
        <x:v>469</x:v>
      </x:c>
      <x:c r="F52" s="26" t="str">
        <x:v>кг</x:v>
      </x:c>
      <x:c r="G52" s="26" t="str">
        <x:v>Товар</x:v>
      </x:c>
      <x:c r="H52" s="29" t="n">
        <x:v>95</x:v>
      </x:c>
      <x:c r="I52" s="28" t="str">
        <x:v>Точное</x:v>
      </x:c>
      <x:c r="J52" s="27" t="str"/>
      <x:c r="K52" s="30" t="str">
        <x:v>891a75c3-24ec-4b1a-960a-b001ee3178ad</x:v>
      </x:c>
    </x:row>
    <x:row r="53" ht="15" hidden="0" customHeight="1">
      <x:c r="A53" s="26" t="str">
        <x:v>4, 15</x:v>
      </x:c>
      <x:c r="B53" s="27" t="str">
        <x:v>Шаурма; Сухой склад</x:v>
      </x:c>
      <x:c r="C53" s="27" t="str">
        <x:v>Перец чили (товар)</x:v>
      </x:c>
      <x:c r="D53" s="27" t="str">
        <x:v>Перец чили</x:v>
      </x:c>
      <x:c r="E53" s="26" t="str">
        <x:v>480</x:v>
      </x:c>
      <x:c r="F53" s="26" t="str">
        <x:v>кг</x:v>
      </x:c>
      <x:c r="G53" s="26" t="str">
        <x:v>Товар</x:v>
      </x:c>
      <x:c r="H53" s="29" t="n">
        <x:v>100</x:v>
      </x:c>
      <x:c r="I53" s="28" t="str">
        <x:v>Точное</x:v>
      </x:c>
      <x:c r="J53" s="27" t="str"/>
      <x:c r="K53" s="30" t="str">
        <x:v>83f53898-0dfb-4111-8bb7-da7ee1248c99</x:v>
      </x:c>
    </x:row>
    <x:row r="54" ht="15" hidden="0" customHeight="1">
      <x:c r="A54" s="26" t="str">
        <x:v>4</x:v>
      </x:c>
      <x:c r="B54" s="27" t="str">
        <x:v>Шаурма</x:v>
      </x:c>
      <x:c r="C54" s="27" t="str">
        <x:v>Сладкий сыр п/ф (ванильный)</x:v>
      </x:c>
      <x:c r="D54" s="27" t="str">
        <x:v>Творожный сладкий сыр пф</x:v>
      </x:c>
      <x:c r="E54" s="26" t="str">
        <x:v>1120</x:v>
      </x:c>
      <x:c r="F54" s="26" t="str">
        <x:v>кг</x:v>
      </x:c>
      <x:c r="G54" s="26" t="str">
        <x:v>Полуфабрикат</x:v>
      </x:c>
      <x:c r="H54" s="29" t="n">
        <x:v>80</x:v>
      </x:c>
      <x:c r="I54" s="28" t="str">
        <x:v>По смыслу</x:v>
      </x:c>
      <x:c r="J54" s="27" t="str">
        <x:v>В IIKO один общий п/ф «Творожный сладкий сыр» без разделения по вкусам.</x:v>
      </x:c>
      <x:c r="K54" s="30" t="str">
        <x:v>43de05bb-8ecb-4e26-93b3-a6ebb3c26f47</x:v>
      </x:c>
    </x:row>
    <x:row r="55" ht="15" hidden="0" customHeight="1">
      <x:c r="A55" s="26" t="str">
        <x:v>4</x:v>
      </x:c>
      <x:c r="B55" s="27" t="str">
        <x:v>Шаурма</x:v>
      </x:c>
      <x:c r="C55" s="27" t="str">
        <x:v>Сладкий сыр п/ф (шоколад)</x:v>
      </x:c>
      <x:c r="D55" s="27" t="str">
        <x:v>Творожный сладкий сыр пф</x:v>
      </x:c>
      <x:c r="E55" s="26" t="str">
        <x:v>1120</x:v>
      </x:c>
      <x:c r="F55" s="26" t="str">
        <x:v>кг</x:v>
      </x:c>
      <x:c r="G55" s="26" t="str">
        <x:v>Полуфабрикат</x:v>
      </x:c>
      <x:c r="H55" s="29" t="n">
        <x:v>80</x:v>
      </x:c>
      <x:c r="I55" s="28" t="str">
        <x:v>По смыслу</x:v>
      </x:c>
      <x:c r="J55" s="27" t="str">
        <x:v>В IIKO один общий п/ф «Творожный сладкий сыр» без разделения по вкусам.</x:v>
      </x:c>
      <x:c r="K55" s="30" t="str">
        <x:v>43de05bb-8ecb-4e26-93b3-a6ebb3c26f47</x:v>
      </x:c>
    </x:row>
    <x:row r="56" ht="15" hidden="0" customHeight="1">
      <x:c r="A56" s="26" t="str">
        <x:v>4, 17</x:v>
      </x:c>
      <x:c r="B56" s="27" t="str">
        <x:v>Шаурма; Заготовочный цех</x:v>
      </x:c>
      <x:c r="C56" s="27" t="str">
        <x:v>Соль (товар)</x:v>
      </x:c>
      <x:c r="D56" s="27" t="str">
        <x:v>Соль</x:v>
      </x:c>
      <x:c r="E56" s="26" t="str">
        <x:v>376</x:v>
      </x:c>
      <x:c r="F56" s="26" t="str">
        <x:v>кг</x:v>
      </x:c>
      <x:c r="G56" s="26" t="str">
        <x:v>Товар</x:v>
      </x:c>
      <x:c r="H56" s="29" t="n">
        <x:v>100</x:v>
      </x:c>
      <x:c r="I56" s="28" t="str">
        <x:v>Точное</x:v>
      </x:c>
      <x:c r="J56" s="27" t="str"/>
      <x:c r="K56" s="30" t="str">
        <x:v>15cd4416-d60a-4715-8ea6-7322d91ef043</x:v>
      </x:c>
    </x:row>
    <x:row r="57" ht="15" hidden="0" customHeight="1">
      <x:c r="A57" s="26" t="str">
        <x:v>4, 6</x:v>
      </x:c>
      <x:c r="B57" s="27" t="str">
        <x:v>Шаурма; Пицца — холодильный шкаф №6 / стол №5</x:v>
      </x:c>
      <x:c r="C57" s="27" t="str">
        <x:v>Соус сырно-чесночный (пицца) п/ф</x:v>
      </x:c>
      <x:c r="D57" s="27" t="str">
        <x:v>Сырно-чесночный соус пицца</x:v>
      </x:c>
      <x:c r="E57" s="26" t="str">
        <x:v>416</x:v>
      </x:c>
      <x:c r="F57" s="26" t="str">
        <x:v>кг</x:v>
      </x:c>
      <x:c r="G57" s="26" t="str">
        <x:v>Полуфабрикат</x:v>
      </x:c>
      <x:c r="H57" s="29" t="n">
        <x:v>100</x:v>
      </x:c>
      <x:c r="I57" s="28" t="str">
        <x:v>Точное</x:v>
      </x:c>
      <x:c r="J57" s="27" t="str"/>
      <x:c r="K57" s="30" t="str">
        <x:v>b2ce4842-86d8-4d0a-baab-2292b26b4143</x:v>
      </x:c>
    </x:row>
    <x:row r="58" ht="15" hidden="0" customHeight="1">
      <x:c r="A58" s="26" t="str">
        <x:v>4, 7</x:v>
      </x:c>
      <x:c r="B58" s="27" t="str">
        <x:v>Шаурма; Пицца — холодильный шкаф №6 / стол №5</x:v>
      </x:c>
      <x:c r="C58" s="27" t="str">
        <x:v>Соус чесночный Шаурма п/ф</x:v>
      </x:c>
      <x:c r="D58" s="27" t="str">
        <x:v>Чесночный соус шаурма</x:v>
      </x:c>
      <x:c r="E58" s="26" t="str">
        <x:v>414</x:v>
      </x:c>
      <x:c r="F58" s="26" t="str">
        <x:v>кг</x:v>
      </x:c>
      <x:c r="G58" s="26" t="str">
        <x:v>Полуфабрикат</x:v>
      </x:c>
      <x:c r="H58" s="29" t="n">
        <x:v>100</x:v>
      </x:c>
      <x:c r="I58" s="28" t="str">
        <x:v>Точное</x:v>
      </x:c>
      <x:c r="J58" s="27" t="str"/>
      <x:c r="K58" s="30" t="str">
        <x:v>cf669d27-d338-4a5e-8b54-53c8be620afd</x:v>
      </x:c>
    </x:row>
    <x:row r="59" ht="15" hidden="0" customHeight="1">
      <x:c r="A59" s="26" t="str">
        <x:v>4, 15</x:v>
      </x:c>
      <x:c r="B59" s="27" t="str">
        <x:v>Шаурма; Сухой склад</x:v>
      </x:c>
      <x:c r="C59" s="27" t="str">
        <x:v>Соус Шрирача (товар)</x:v>
      </x:c>
      <x:c r="D59" s="27" t="str">
        <x:v>Соус Шрирача Uni-Eagle</x:v>
      </x:c>
      <x:c r="E59" s="26" t="str">
        <x:v>304</x:v>
      </x:c>
      <x:c r="F59" s="26" t="str">
        <x:v>кг</x:v>
      </x:c>
      <x:c r="G59" s="26" t="str">
        <x:v>Товар</x:v>
      </x:c>
      <x:c r="H59" s="29" t="n">
        <x:v>95</x:v>
      </x:c>
      <x:c r="I59" s="28" t="str">
        <x:v>Точное</x:v>
      </x:c>
      <x:c r="J59" s="27" t="str"/>
      <x:c r="K59" s="30" t="str">
        <x:v>ced6c2f6-d132-402d-835b-5110b6abc659</x:v>
      </x:c>
    </x:row>
    <x:row r="60" ht="15" hidden="0" customHeight="1">
      <x:c r="A60" s="26" t="str">
        <x:v>4, 6</x:v>
      </x:c>
      <x:c r="B60" s="27" t="str">
        <x:v>Шаурма; Пицца — холодильный шкаф №6 / стол №5</x:v>
      </x:c>
      <x:c r="C60" s="27" t="str">
        <x:v>Сырный микс п/ф</x:v>
      </x:c>
      <x:c r="D60" s="27" t="str">
        <x:v>Сырный микс</x:v>
      </x:c>
      <x:c r="E60" s="26" t="str">
        <x:v>468</x:v>
      </x:c>
      <x:c r="F60" s="26" t="str">
        <x:v>кг</x:v>
      </x:c>
      <x:c r="G60" s="26" t="str">
        <x:v>Полуфабрикат</x:v>
      </x:c>
      <x:c r="H60" s="29" t="n">
        <x:v>100</x:v>
      </x:c>
      <x:c r="I60" s="28" t="str">
        <x:v>Точное</x:v>
      </x:c>
      <x:c r="J60" s="27" t="str"/>
      <x:c r="K60" s="30" t="str">
        <x:v>177f8716-4e57-4eb8-b75d-3f9ce773dd48</x:v>
      </x:c>
    </x:row>
    <x:row r="61" ht="15" hidden="0" customHeight="1">
      <x:c r="A61" s="26" t="str">
        <x:v>5</x:v>
      </x:c>
      <x:c r="B61" s="27" t="str">
        <x:v>Шаурма</x:v>
      </x:c>
      <x:c r="C61" s="27" t="str">
        <x:v>Ванилин (товар)</x:v>
      </x:c>
      <x:c r="D61" s="27" t="str">
        <x:v>Ванилин</x:v>
      </x:c>
      <x:c r="E61" s="26" t="str">
        <x:v>1137</x:v>
      </x:c>
      <x:c r="F61" s="26" t="str">
        <x:v>кг</x:v>
      </x:c>
      <x:c r="G61" s="26" t="str">
        <x:v>Товар</x:v>
      </x:c>
      <x:c r="H61" s="29" t="n">
        <x:v>100</x:v>
      </x:c>
      <x:c r="I61" s="28" t="str">
        <x:v>Точное</x:v>
      </x:c>
      <x:c r="J61" s="27" t="str"/>
      <x:c r="K61" s="30" t="str">
        <x:v>94fd84d7-28c8-42f1-b2d8-84271b558650</x:v>
      </x:c>
    </x:row>
    <x:row r="62" ht="15" hidden="0" customHeight="1">
      <x:c r="A62" s="26" t="str">
        <x:v>5</x:v>
      </x:c>
      <x:c r="B62" s="27" t="str">
        <x:v>Шаурма</x:v>
      </x:c>
      <x:c r="C62" s="27" t="str">
        <x:v>Какао (товар)</x:v>
      </x:c>
      <x:c r="D62" s="27" t="str">
        <x:v>Какао растворимый</x:v>
      </x:c>
      <x:c r="E62" s="26" t="str">
        <x:v>1119</x:v>
      </x:c>
      <x:c r="F62" s="26" t="str">
        <x:v>кг</x:v>
      </x:c>
      <x:c r="G62" s="26" t="str">
        <x:v>Товар</x:v>
      </x:c>
      <x:c r="H62" s="29" t="n">
        <x:v>95</x:v>
      </x:c>
      <x:c r="I62" s="28" t="str">
        <x:v>Точное</x:v>
      </x:c>
      <x:c r="J62" s="27" t="str"/>
      <x:c r="K62" s="30" t="str">
        <x:v>f1b51c0c-35cd-4f96-99fb-f52a4f4cbd96</x:v>
      </x:c>
    </x:row>
    <x:row r="63" ht="15" hidden="0" customHeight="1">
      <x:c r="A63" s="26" t="str">
        <x:v>5</x:v>
      </x:c>
      <x:c r="B63" s="27" t="str">
        <x:v>Шаурма</x:v>
      </x:c>
      <x:c r="C63" s="27" t="str">
        <x:v>Миндаль (товар)</x:v>
      </x:c>
      <x:c r="D63" s="27" t="str">
        <x:v>Миндаль лепестки</x:v>
      </x:c>
      <x:c r="E63" s="26" t="str">
        <x:v>1107</x:v>
      </x:c>
      <x:c r="F63" s="26" t="str">
        <x:v>кг</x:v>
      </x:c>
      <x:c r="G63" s="26" t="str">
        <x:v>Товар</x:v>
      </x:c>
      <x:c r="H63" s="29" t="n">
        <x:v>95</x:v>
      </x:c>
      <x:c r="I63" s="28" t="str">
        <x:v>Точное</x:v>
      </x:c>
      <x:c r="J63" s="27" t="str"/>
      <x:c r="K63" s="30" t="str">
        <x:v>970090fb-4cfb-433b-9969-d79ee9964f89</x:v>
      </x:c>
    </x:row>
    <x:row r="64" ht="15" hidden="0" customHeight="1">
      <x:c r="A64" s="26" t="str">
        <x:v>5</x:v>
      </x:c>
      <x:c r="B64" s="27" t="str">
        <x:v>Шаурма</x:v>
      </x:c>
      <x:c r="C64" s="27" t="str">
        <x:v>Рисовые шарики (товар)</x:v>
      </x:c>
      <x:c r="D64" s="27" t="str">
        <x:v>Рис воздушный</x:v>
      </x:c>
      <x:c r="E64" s="26" t="str">
        <x:v>1327</x:v>
      </x:c>
      <x:c r="F64" s="26" t="str">
        <x:v>кг</x:v>
      </x:c>
      <x:c r="G64" s="26" t="str">
        <x:v>Товар</x:v>
      </x:c>
      <x:c r="H64" s="29" t="n">
        <x:v>80</x:v>
      </x:c>
      <x:c r="I64" s="28" t="str">
        <x:v>По смыслу</x:v>
      </x:c>
      <x:c r="J64" s="27" t="str">
        <x:v>Сопоставлено по смыслу с товаром «Рис воздушный».</x:v>
      </x:c>
      <x:c r="K64" s="30" t="str">
        <x:v>fca61a51-2040-4f45-8b38-410064029515</x:v>
      </x:c>
    </x:row>
    <x:row r="65" ht="15" hidden="0" customHeight="1">
      <x:c r="A65" s="26" t="str">
        <x:v>5</x:v>
      </x:c>
      <x:c r="B65" s="27" t="str">
        <x:v>Шаурма</x:v>
      </x:c>
      <x:c r="C65" s="27" t="str">
        <x:v>Сахарная пудра (товар)</x:v>
      </x:c>
      <x:c r="D65" s="27" t="str">
        <x:v>Сахарная пудра</x:v>
      </x:c>
      <x:c r="E65" s="26" t="str">
        <x:v>1112</x:v>
      </x:c>
      <x:c r="F65" s="26" t="str">
        <x:v>кг</x:v>
      </x:c>
      <x:c r="G65" s="26" t="str">
        <x:v>Товар</x:v>
      </x:c>
      <x:c r="H65" s="29" t="n">
        <x:v>100</x:v>
      </x:c>
      <x:c r="I65" s="28" t="str">
        <x:v>Точное</x:v>
      </x:c>
      <x:c r="J65" s="27" t="str"/>
      <x:c r="K65" s="30" t="str">
        <x:v>9e07a530-fa1f-4ed6-a10c-ba2c38bfc851</x:v>
      </x:c>
    </x:row>
    <x:row r="66" ht="15" hidden="0" customHeight="1">
      <x:c r="A66" s="26" t="str">
        <x:v>5</x:v>
      </x:c>
      <x:c r="B66" s="27" t="str">
        <x:v>Шаурма</x:v>
      </x:c>
      <x:c r="C66" s="27" t="str">
        <x:v>Топпинг клубника (товар)</x:v>
      </x:c>
      <x:c r="D66" s="27" t="str">
        <x:v>Топпинг Клубника</x:v>
      </x:c>
      <x:c r="E66" s="26" t="str">
        <x:v>1124</x:v>
      </x:c>
      <x:c r="F66" s="26" t="str">
        <x:v>кг</x:v>
      </x:c>
      <x:c r="G66" s="26" t="str">
        <x:v>Товар</x:v>
      </x:c>
      <x:c r="H66" s="29" t="n">
        <x:v>100</x:v>
      </x:c>
      <x:c r="I66" s="28" t="str">
        <x:v>Точное</x:v>
      </x:c>
      <x:c r="J66" s="27" t="str"/>
      <x:c r="K66" s="30" t="str">
        <x:v>555a2308-2e1d-4e25-a71e-b5a738ac28fc</x:v>
      </x:c>
    </x:row>
    <x:row r="67" ht="15" hidden="0" customHeight="1">
      <x:c r="A67" s="26" t="str">
        <x:v>5</x:v>
      </x:c>
      <x:c r="B67" s="27" t="str">
        <x:v>Шаурма</x:v>
      </x:c>
      <x:c r="C67" s="27" t="str">
        <x:v>Топпинг шоколад (товар)</x:v>
      </x:c>
      <x:c r="D67" s="27" t="str">
        <x:v>Топпинг Шоколад</x:v>
      </x:c>
      <x:c r="E67" s="26" t="str">
        <x:v>1125</x:v>
      </x:c>
      <x:c r="F67" s="26" t="str">
        <x:v>кг</x:v>
      </x:c>
      <x:c r="G67" s="26" t="str">
        <x:v>Товар</x:v>
      </x:c>
      <x:c r="H67" s="29" t="n">
        <x:v>100</x:v>
      </x:c>
      <x:c r="I67" s="28" t="str">
        <x:v>Точное</x:v>
      </x:c>
      <x:c r="J67" s="27" t="str"/>
      <x:c r="K67" s="30" t="str">
        <x:v>33c6a683-58fc-4749-b514-cb41024149f3</x:v>
      </x:c>
    </x:row>
    <x:row r="68" ht="15" hidden="0" customHeight="1">
      <x:c r="A68" s="26" t="str">
        <x:v>6</x:v>
      </x:c>
      <x:c r="B68" s="27" t="str">
        <x:v>Пицца — холодильный шкаф №6 / стол №5</x:v>
      </x:c>
      <x:c r="C68" s="27" t="str">
        <x:v>Буженина п/ф</x:v>
      </x:c>
      <x:c r="D68" s="27" t="str">
        <x:v>Буженина п/ф</x:v>
      </x:c>
      <x:c r="E68" s="26" t="str">
        <x:v>428</x:v>
      </x:c>
      <x:c r="F68" s="26" t="str">
        <x:v>кг</x:v>
      </x:c>
      <x:c r="G68" s="26" t="str">
        <x:v>Полуфабрикат</x:v>
      </x:c>
      <x:c r="H68" s="29" t="n">
        <x:v>100</x:v>
      </x:c>
      <x:c r="I68" s="28" t="str">
        <x:v>Точное</x:v>
      </x:c>
      <x:c r="J68" s="27" t="str"/>
      <x:c r="K68" s="30" t="str">
        <x:v>0c861f23-f3f1-4be3-98bf-e8c7f53dd0de</x:v>
      </x:c>
    </x:row>
    <x:row r="69" ht="15" hidden="0" customHeight="1">
      <x:c r="A69" s="26" t="str">
        <x:v>6</x:v>
      </x:c>
      <x:c r="B69" s="27" t="str">
        <x:v>Пицца — холодильный шкаф №6 / стол №5</x:v>
      </x:c>
      <x:c r="C69" s="27" t="str">
        <x:v>Ветчина (товар)</x:v>
      </x:c>
      <x:c r="D69" s="27" t="str">
        <x:v>Ветчина</x:v>
      </x:c>
      <x:c r="E69" s="26" t="str">
        <x:v>338</x:v>
      </x:c>
      <x:c r="F69" s="26" t="str">
        <x:v>кг</x:v>
      </x:c>
      <x:c r="G69" s="26" t="str">
        <x:v>Товар</x:v>
      </x:c>
      <x:c r="H69" s="29" t="n">
        <x:v>100</x:v>
      </x:c>
      <x:c r="I69" s="28" t="str">
        <x:v>Точное</x:v>
      </x:c>
      <x:c r="J69" s="27" t="str"/>
      <x:c r="K69" s="30" t="str">
        <x:v>c7ebf913-5d41-4512-bd18-1064bf61186e</x:v>
      </x:c>
    </x:row>
    <x:row r="70" ht="15" hidden="0" customHeight="1">
      <x:c r="A70" s="26" t="str">
        <x:v>6</x:v>
      </x:c>
      <x:c r="B70" s="27" t="str">
        <x:v>Пицца — холодильный шкаф №6 / стол №5</x:v>
      </x:c>
      <x:c r="C70" s="27" t="str">
        <x:v>Карбонад (товар)</x:v>
      </x:c>
      <x:c r="D70" s="27" t="str">
        <x:v>Карбонад</x:v>
      </x:c>
      <x:c r="E70" s="26" t="str">
        <x:v>357</x:v>
      </x:c>
      <x:c r="F70" s="26" t="str">
        <x:v>кг</x:v>
      </x:c>
      <x:c r="G70" s="26" t="str">
        <x:v>Товар</x:v>
      </x:c>
      <x:c r="H70" s="29" t="n">
        <x:v>100</x:v>
      </x:c>
      <x:c r="I70" s="28" t="str">
        <x:v>Точное</x:v>
      </x:c>
      <x:c r="J70" s="27" t="str"/>
      <x:c r="K70" s="30" t="str">
        <x:v>f9233ba8-7d5f-47b6-8e41-8b85ed67dcf0</x:v>
      </x:c>
    </x:row>
    <x:row r="71" ht="15" hidden="0" customHeight="1">
      <x:c r="A71" s="26" t="str">
        <x:v>6</x:v>
      </x:c>
      <x:c r="B71" s="27" t="str">
        <x:v>Пицца — холодильный шкаф №6 / стол №5</x:v>
      </x:c>
      <x:c r="C71" s="27" t="str">
        <x:v>Курица п/ф запечённая</x:v>
      </x:c>
      <x:c r="D71" s="27" t="str">
        <x:v>Курица запеченная</x:v>
      </x:c>
      <x:c r="E71" s="26" t="str">
        <x:v>426</x:v>
      </x:c>
      <x:c r="F71" s="26" t="str">
        <x:v>кг</x:v>
      </x:c>
      <x:c r="G71" s="26" t="str">
        <x:v>Полуфабрикат</x:v>
      </x:c>
      <x:c r="H71" s="29" t="n">
        <x:v>100</x:v>
      </x:c>
      <x:c r="I71" s="28" t="str">
        <x:v>Точное</x:v>
      </x:c>
      <x:c r="J71" s="27" t="str"/>
      <x:c r="K71" s="30" t="str">
        <x:v>e0cd329b-9b53-4521-b3b4-3ef2d862b9f0</x:v>
      </x:c>
    </x:row>
    <x:row r="72" ht="21.600000381469727" hidden="0" customHeight="1">
      <x:c r="A72" s="26" t="str">
        <x:v>6, 17</x:v>
      </x:c>
      <x:c r="B72" s="27" t="str">
        <x:v>Пицца — холодильный шкаф №6 / стол №5; Заготовочный цех</x:v>
      </x:c>
      <x:c r="C72" s="27" t="str">
        <x:v>Лук красный (товар)</x:v>
      </x:c>
      <x:c r="D72" s="27" t="str">
        <x:v>Лук красный</x:v>
      </x:c>
      <x:c r="E72" s="26" t="str">
        <x:v>363</x:v>
      </x:c>
      <x:c r="F72" s="26" t="str">
        <x:v>кг</x:v>
      </x:c>
      <x:c r="G72" s="26" t="str">
        <x:v>Товар</x:v>
      </x:c>
      <x:c r="H72" s="29" t="n">
        <x:v>100</x:v>
      </x:c>
      <x:c r="I72" s="28" t="str">
        <x:v>Точное</x:v>
      </x:c>
      <x:c r="J72" s="27" t="str"/>
      <x:c r="K72" s="30" t="str">
        <x:v>27db9b9f-d42e-424a-8f8d-715f301ce2c0</x:v>
      </x:c>
    </x:row>
    <x:row r="73" ht="21.600000381469727" hidden="0" customHeight="1">
      <x:c r="A73" s="26" t="str">
        <x:v>6, 11</x:v>
      </x:c>
      <x:c r="B73" s="27" t="str">
        <x:v>Пицца — холодильный шкаф №6 / стол №5; Суши-бар — холодильный шкаф №4 / стол №3</x:v>
      </x:c>
      <x:c r="C73" s="27" t="str">
        <x:v>Лук перо (товар)</x:v>
      </x:c>
      <x:c r="D73" s="27" t="str">
        <x:v>Лук перо</x:v>
      </x:c>
      <x:c r="E73" s="26" t="str">
        <x:v>365</x:v>
      </x:c>
      <x:c r="F73" s="26" t="str">
        <x:v>кг</x:v>
      </x:c>
      <x:c r="G73" s="26" t="str">
        <x:v>Товар</x:v>
      </x:c>
      <x:c r="H73" s="29" t="n">
        <x:v>100</x:v>
      </x:c>
      <x:c r="I73" s="28" t="str">
        <x:v>Точное</x:v>
      </x:c>
      <x:c r="J73" s="27" t="str"/>
      <x:c r="K73" s="30" t="str">
        <x:v>95143934-e55c-4ad6-8ade-e24dbd6122d6</x:v>
      </x:c>
    </x:row>
    <x:row r="74" ht="15" hidden="0" customHeight="1">
      <x:c r="A74" s="26" t="str">
        <x:v>6</x:v>
      </x:c>
      <x:c r="B74" s="27" t="str">
        <x:v>Пицца — холодильный шкаф №6 / стол №5</x:v>
      </x:c>
      <x:c r="C74" s="27" t="str">
        <x:v>Маринованные огурцы (товар)</x:v>
      </x:c>
      <x:c r="D74" s="27" t="str">
        <x:v>Маринованные огурцы</x:v>
      </x:c>
      <x:c r="E74" s="26" t="str">
        <x:v>336</x:v>
      </x:c>
      <x:c r="F74" s="26" t="str">
        <x:v>кг</x:v>
      </x:c>
      <x:c r="G74" s="26" t="str">
        <x:v>Товар</x:v>
      </x:c>
      <x:c r="H74" s="29" t="n">
        <x:v>100</x:v>
      </x:c>
      <x:c r="I74" s="28" t="str">
        <x:v>Точное</x:v>
      </x:c>
      <x:c r="J74" s="27" t="str"/>
      <x:c r="K74" s="30" t="str">
        <x:v>ca4b7d3f-3749-4c27-ab2d-3399176b391a</x:v>
      </x:c>
    </x:row>
    <x:row r="75" ht="15" hidden="0" customHeight="1">
      <x:c r="A75" s="26" t="str">
        <x:v>6</x:v>
      </x:c>
      <x:c r="B75" s="27" t="str">
        <x:v>Пицца — холодильный шкаф №6 / стол №5</x:v>
      </x:c>
      <x:c r="C75" s="27" t="str">
        <x:v>Охотничьи колбаски (товар)</x:v>
      </x:c>
      <x:c r="D75" s="27" t="str">
        <x:v>Колбаски охотничьи</x:v>
      </x:c>
      <x:c r="E75" s="26" t="str">
        <x:v>309</x:v>
      </x:c>
      <x:c r="F75" s="26" t="str">
        <x:v>кг</x:v>
      </x:c>
      <x:c r="G75" s="26" t="str">
        <x:v>Товар</x:v>
      </x:c>
      <x:c r="H75" s="29" t="n">
        <x:v>95</x:v>
      </x:c>
      <x:c r="I75" s="28" t="str">
        <x:v>Точное</x:v>
      </x:c>
      <x:c r="J75" s="27" t="str"/>
      <x:c r="K75" s="30" t="str">
        <x:v>37fd81e9-a15d-4c2b-934c-6c7c5bb3b340</x:v>
      </x:c>
    </x:row>
    <x:row r="76" ht="21.600000381469727" hidden="0" customHeight="1">
      <x:c r="A76" s="26" t="str">
        <x:v>6, 9</x:v>
      </x:c>
      <x:c r="B76" s="27" t="str">
        <x:v>Пицца — холодильный шкаф №6 / стол №5; Пицца — морозильный ларь №1</x:v>
      </x:c>
      <x:c r="C76" s="27" t="str">
        <x:v>Пепперони (товар)</x:v>
      </x:c>
      <x:c r="D76" s="27" t="str">
        <x:v>Пепперони</x:v>
      </x:c>
      <x:c r="E76" s="26" t="str">
        <x:v>310</x:v>
      </x:c>
      <x:c r="F76" s="26" t="str">
        <x:v>кг</x:v>
      </x:c>
      <x:c r="G76" s="26" t="str">
        <x:v>Товар</x:v>
      </x:c>
      <x:c r="H76" s="29" t="n">
        <x:v>100</x:v>
      </x:c>
      <x:c r="I76" s="28" t="str">
        <x:v>Точное</x:v>
      </x:c>
      <x:c r="J76" s="27" t="str"/>
      <x:c r="K76" s="30" t="str">
        <x:v>063c4e54-22f4-4ac8-82cd-80fb92f4f213</x:v>
      </x:c>
    </x:row>
    <x:row r="77" ht="15" hidden="0" customHeight="1">
      <x:c r="A77" s="26" t="str">
        <x:v>6</x:v>
      </x:c>
      <x:c r="B77" s="27" t="str">
        <x:v>Пицца — холодильный шкаф №6 / стол №5</x:v>
      </x:c>
      <x:c r="C77" s="27" t="str">
        <x:v>Салями (товар)</x:v>
      </x:c>
      <x:c r="D77" s="27" t="str">
        <x:v>Салями</x:v>
      </x:c>
      <x:c r="E77" s="26" t="str">
        <x:v>325</x:v>
      </x:c>
      <x:c r="F77" s="26" t="str">
        <x:v>кг</x:v>
      </x:c>
      <x:c r="G77" s="26" t="str">
        <x:v>Товар</x:v>
      </x:c>
      <x:c r="H77" s="29" t="n">
        <x:v>100</x:v>
      </x:c>
      <x:c r="I77" s="28" t="str">
        <x:v>Точное</x:v>
      </x:c>
      <x:c r="J77" s="27" t="str"/>
      <x:c r="K77" s="30" t="str">
        <x:v>1c5b9b21-a94b-486c-9e86-fd853be7d9b8</x:v>
      </x:c>
    </x:row>
    <x:row r="78" ht="15" hidden="0" customHeight="1">
      <x:c r="A78" s="26" t="str">
        <x:v>6</x:v>
      </x:c>
      <x:c r="B78" s="27" t="str">
        <x:v>Пицца — холодильный шкаф №6 / стол №5</x:v>
      </x:c>
      <x:c r="C78" s="27" t="str">
        <x:v>Соус красный п/ф</x:v>
      </x:c>
      <x:c r="D78" s="27" t="str">
        <x:v>Соус красный пицца</x:v>
      </x:c>
      <x:c r="E78" s="26" t="str">
        <x:v>430</x:v>
      </x:c>
      <x:c r="F78" s="26" t="str">
        <x:v>кг</x:v>
      </x:c>
      <x:c r="G78" s="26" t="str">
        <x:v>Полуфабрикат</x:v>
      </x:c>
      <x:c r="H78" s="29" t="n">
        <x:v>100</x:v>
      </x:c>
      <x:c r="I78" s="28" t="str">
        <x:v>Точное</x:v>
      </x:c>
      <x:c r="J78" s="27" t="str"/>
      <x:c r="K78" s="30" t="str">
        <x:v>71a94034-0934-48eb-b8fb-a8bc4cf5ed66</x:v>
      </x:c>
    </x:row>
    <x:row r="79" ht="15" hidden="0" customHeight="1">
      <x:c r="A79" s="26" t="str">
        <x:v>6</x:v>
      </x:c>
      <x:c r="B79" s="27" t="str">
        <x:v>Пицца — холодильный шкаф №6 / стол №5</x:v>
      </x:c>
      <x:c r="C79" s="27" t="str">
        <x:v>Сыр Дорблю (товар)</x:v>
      </x:c>
      <x:c r="D79" s="27" t="str">
        <x:v>Сыр с голубой плесенью</x:v>
      </x:c>
      <x:c r="E79" s="26" t="str">
        <x:v>302</x:v>
      </x:c>
      <x:c r="F79" s="26" t="str">
        <x:v>кг</x:v>
      </x:c>
      <x:c r="G79" s="26" t="str">
        <x:v>Товар</x:v>
      </x:c>
      <x:c r="H79" s="29" t="n">
        <x:v>95</x:v>
      </x:c>
      <x:c r="I79" s="28" t="str">
        <x:v>Точное</x:v>
      </x:c>
      <x:c r="J79" s="27" t="str">
        <x:v>Дорблю сопоставлен с товаром «Сыр с голубой плесенью».</x:v>
      </x:c>
      <x:c r="K79" s="30" t="str">
        <x:v>2daeab0b-01c2-4e1e-afdb-13a9ec72e510</x:v>
      </x:c>
    </x:row>
    <x:row r="80" ht="15" hidden="0" customHeight="1">
      <x:c r="A80" s="26" t="str">
        <x:v>6</x:v>
      </x:c>
      <x:c r="B80" s="27" t="str">
        <x:v>Пицца — холодильный шкаф №6 / стол №5</x:v>
      </x:c>
      <x:c r="C80" s="27" t="str">
        <x:v>Сыр Пармезан (товар)</x:v>
      </x:c>
      <x:c r="D80" s="27" t="str">
        <x:v>Пармезан ингредиент</x:v>
      </x:c>
      <x:c r="E80" s="26" t="str">
        <x:v>397</x:v>
      </x:c>
      <x:c r="F80" s="26" t="str">
        <x:v>кг</x:v>
      </x:c>
      <x:c r="G80" s="26" t="str">
        <x:v>Товар</x:v>
      </x:c>
      <x:c r="H80" s="29" t="n">
        <x:v>95</x:v>
      </x:c>
      <x:c r="I80" s="28" t="str">
        <x:v>Точное</x:v>
      </x:c>
      <x:c r="J80" s="27" t="str"/>
      <x:c r="K80" s="30" t="str">
        <x:v>213ab6c4-dca5-4f6d-abfb-46515764f703</x:v>
      </x:c>
    </x:row>
    <x:row r="81" ht="15" hidden="0" customHeight="1">
      <x:c r="A81" s="26" t="str">
        <x:v>6</x:v>
      </x:c>
      <x:c r="B81" s="27" t="str">
        <x:v>Пицца — холодильный шкаф №6 / стол №5</x:v>
      </x:c>
      <x:c r="C81" s="27" t="str">
        <x:v>Фарш п/ф свинина-говядина</x:v>
      </x:c>
      <x:c r="D81" s="27" t="str">
        <x:v>фарш свино-говяжий п/ф</x:v>
      </x:c>
      <x:c r="E81" s="26" t="str">
        <x:v>1239</x:v>
      </x:c>
      <x:c r="F81" s="26" t="str">
        <x:v>кг</x:v>
      </x:c>
      <x:c r="G81" s="26" t="str">
        <x:v>Полуфабрикат</x:v>
      </x:c>
      <x:c r="H81" s="29" t="n">
        <x:v>100</x:v>
      </x:c>
      <x:c r="I81" s="28" t="str">
        <x:v>Точное</x:v>
      </x:c>
      <x:c r="J81" s="27" t="str"/>
      <x:c r="K81" s="30" t="str">
        <x:v>ec6d5898-fa6d-4533-b2a5-08d93ee8df83</x:v>
      </x:c>
    </x:row>
    <x:row r="82" ht="15" hidden="0" customHeight="1">
      <x:c r="A82" s="26" t="str">
        <x:v>6</x:v>
      </x:c>
      <x:c r="B82" s="27" t="str">
        <x:v>Пицца — холодильный шкаф №6 / стол №5</x:v>
      </x:c>
      <x:c r="C82" s="27" t="str">
        <x:v>Шампиньоны</x:v>
      </x:c>
      <x:c r="D82" s="27" t="str">
        <x:v>Шампиньоны</x:v>
      </x:c>
      <x:c r="E82" s="26" t="str">
        <x:v>381</x:v>
      </x:c>
      <x:c r="F82" s="26" t="str">
        <x:v>кг</x:v>
      </x:c>
      <x:c r="G82" s="26" t="str">
        <x:v>Товар</x:v>
      </x:c>
      <x:c r="H82" s="29" t="n">
        <x:v>100</x:v>
      </x:c>
      <x:c r="I82" s="28" t="str">
        <x:v>Точное</x:v>
      </x:c>
      <x:c r="J82" s="27" t="str"/>
      <x:c r="K82" s="30" t="str">
        <x:v>a4062203-2a05-485d-ae1b-01045f7fce89</x:v>
      </x:c>
    </x:row>
    <x:row r="83" ht="15" hidden="0" customHeight="1">
      <x:c r="A83" s="26" t="str">
        <x:v>7</x:v>
      </x:c>
      <x:c r="B83" s="27" t="str">
        <x:v>Пицца — холодильный шкаф №6 / стол №5</x:v>
      </x:c>
      <x:c r="C83" s="27" t="str">
        <x:v>Ананас ч/в (товар)</x:v>
      </x:c>
      <x:c r="D83" s="27" t="str">
        <x:v>Ананасы</x:v>
      </x:c>
      <x:c r="E83" s="26" t="str">
        <x:v>473</x:v>
      </x:c>
      <x:c r="F83" s="26" t="str">
        <x:v>кг</x:v>
      </x:c>
      <x:c r="G83" s="26" t="str">
        <x:v>Товар</x:v>
      </x:c>
      <x:c r="H83" s="29" t="n">
        <x:v>95</x:v>
      </x:c>
      <x:c r="I83" s="28" t="str">
        <x:v>Точное</x:v>
      </x:c>
      <x:c r="J83" s="27" t="str"/>
      <x:c r="K83" s="30" t="str">
        <x:v>41b4f778-88a7-45ac-bcba-18c949a801cb</x:v>
      </x:c>
    </x:row>
    <x:row r="84" ht="21.600000381469727" hidden="0" customHeight="1">
      <x:c r="A84" s="26" t="str">
        <x:v>7, 12</x:v>
      </x:c>
      <x:c r="B84" s="27" t="str">
        <x:v>Пицца — холодильный шкаф №6 / стол №5; Суши-бар — холодильный шкаф №4 / стол №3</x:v>
      </x:c>
      <x:c r="C84" s="27" t="str">
        <x:v>Курица копчёная п/ф</x:v>
      </x:c>
      <x:c r="D84" s="27" t="str">
        <x:v>Курица копченая п/ф</x:v>
      </x:c>
      <x:c r="E84" s="26" t="str">
        <x:v>596</x:v>
      </x:c>
      <x:c r="F84" s="26" t="str">
        <x:v>кг</x:v>
      </x:c>
      <x:c r="G84" s="26" t="str">
        <x:v>Полуфабрикат</x:v>
      </x:c>
      <x:c r="H84" s="29" t="n">
        <x:v>100</x:v>
      </x:c>
      <x:c r="I84" s="28" t="str">
        <x:v>Точное</x:v>
      </x:c>
      <x:c r="J84" s="27" t="str"/>
      <x:c r="K84" s="30" t="str">
        <x:v>f20c377d-a9f8-422e-b382-55a106207ee6</x:v>
      </x:c>
    </x:row>
    <x:row r="85" ht="15" hidden="0" customHeight="1">
      <x:c r="A85" s="26" t="str">
        <x:v>7</x:v>
      </x:c>
      <x:c r="B85" s="27" t="str">
        <x:v>Пицца — холодильный шкаф №6 / стол №5</x:v>
      </x:c>
      <x:c r="C85" s="27" t="str">
        <x:v>Лук маринованный Шаурма п/ф</x:v>
      </x:c>
      <x:c r="D85" s="27" t="str">
        <x:v>Маринованный лук</x:v>
      </x:c>
      <x:c r="E85" s="26" t="str">
        <x:v>421</x:v>
      </x:c>
      <x:c r="F85" s="26" t="str">
        <x:v>кг</x:v>
      </x:c>
      <x:c r="G85" s="26" t="str">
        <x:v>Полуфабрикат</x:v>
      </x:c>
      <x:c r="H85" s="29" t="n">
        <x:v>95</x:v>
      </x:c>
      <x:c r="I85" s="28" t="str">
        <x:v>Точное</x:v>
      </x:c>
      <x:c r="J85" s="27" t="str"/>
      <x:c r="K85" s="30" t="str">
        <x:v>d8d31ed3-6374-440a-b2b1-95e19e668066</x:v>
      </x:c>
    </x:row>
    <x:row r="86" ht="15" hidden="0" customHeight="1">
      <x:c r="A86" s="26" t="str">
        <x:v>7</x:v>
      </x:c>
      <x:c r="B86" s="27" t="str">
        <x:v>Пицца — холодильный шкаф №6 / стол №5</x:v>
      </x:c>
      <x:c r="C86" s="27" t="str">
        <x:v>Маслины ч/в (товар)</x:v>
      </x:c>
      <x:c r="D86" s="27" t="str">
        <x:v>Маслины товар</x:v>
      </x:c>
      <x:c r="E86" s="26" t="str">
        <x:v>470</x:v>
      </x:c>
      <x:c r="F86" s="26" t="str">
        <x:v>кг</x:v>
      </x:c>
      <x:c r="G86" s="26" t="str">
        <x:v>Товар</x:v>
      </x:c>
      <x:c r="H86" s="29" t="n">
        <x:v>95</x:v>
      </x:c>
      <x:c r="I86" s="28" t="str">
        <x:v>Точное</x:v>
      </x:c>
      <x:c r="J86" s="27" t="str"/>
      <x:c r="K86" s="30" t="str">
        <x:v>b0dd10e0-758c-4e61-885d-e946c722cbbb</x:v>
      </x:c>
    </x:row>
    <x:row r="87" ht="15" hidden="0" customHeight="1">
      <x:c r="A87" s="26" t="str">
        <x:v>7</x:v>
      </x:c>
      <x:c r="B87" s="27" t="str">
        <x:v>Пицца — холодильный шкаф №6 / стол №5</x:v>
      </x:c>
      <x:c r="C87" s="27" t="str">
        <x:v>Перец халапеньо ч/в (товар)</x:v>
      </x:c>
      <x:c r="D87" s="27" t="str">
        <x:v>Халапеньо товар</x:v>
      </x:c>
      <x:c r="E87" s="26" t="str">
        <x:v>469</x:v>
      </x:c>
      <x:c r="F87" s="26" t="str">
        <x:v>кг</x:v>
      </x:c>
      <x:c r="G87" s="26" t="str">
        <x:v>Товар</x:v>
      </x:c>
      <x:c r="H87" s="29" t="n">
        <x:v>95</x:v>
      </x:c>
      <x:c r="I87" s="28" t="str">
        <x:v>Точное</x:v>
      </x:c>
      <x:c r="J87" s="27" t="str"/>
      <x:c r="K87" s="30" t="str">
        <x:v>891a75c3-24ec-4b1a-960a-b001ee3178ad</x:v>
      </x:c>
    </x:row>
    <x:row r="88" ht="15" hidden="0" customHeight="1">
      <x:c r="A88" s="26" t="str">
        <x:v>7</x:v>
      </x:c>
      <x:c r="B88" s="27" t="str">
        <x:v>Пицца — холодильный шкаф №6 / стол №5</x:v>
      </x:c>
      <x:c r="C88" s="27" t="str">
        <x:v>Помидор черри (товар)</x:v>
      </x:c>
      <x:c r="D88" s="27" t="str">
        <x:v>Черри</x:v>
      </x:c>
      <x:c r="E88" s="26" t="str">
        <x:v>472</x:v>
      </x:c>
      <x:c r="F88" s="26" t="str">
        <x:v>кг</x:v>
      </x:c>
      <x:c r="G88" s="26" t="str">
        <x:v>Товар</x:v>
      </x:c>
      <x:c r="H88" s="29" t="n">
        <x:v>95</x:v>
      </x:c>
      <x:c r="I88" s="28" t="str">
        <x:v>Точное</x:v>
      </x:c>
      <x:c r="J88" s="27" t="str"/>
      <x:c r="K88" s="30" t="str">
        <x:v>66bee598-0c4e-4d9d-9f9f-07d21198bebe</x:v>
      </x:c>
    </x:row>
    <x:row r="89" ht="21.600000381469727" hidden="0" customHeight="1">
      <x:c r="A89" s="26" t="str">
        <x:v>7, 18</x:v>
      </x:c>
      <x:c r="B89" s="27" t="str">
        <x:v>Пицца — холодильный шкаф №6 / стол №5; Заготовочный цех</x:v>
      </x:c>
      <x:c r="C89" s="27" t="str">
        <x:v>Соус 1000 островов (товар)</x:v>
      </x:c>
      <x:c r="D89" s="27" t="str">
        <x:v>Соус 1000 островов</x:v>
      </x:c>
      <x:c r="E89" s="26" t="str">
        <x:v>318</x:v>
      </x:c>
      <x:c r="F89" s="26" t="str">
        <x:v>кг</x:v>
      </x:c>
      <x:c r="G89" s="26" t="str">
        <x:v>Товар</x:v>
      </x:c>
      <x:c r="H89" s="29" t="n">
        <x:v>100</x:v>
      </x:c>
      <x:c r="I89" s="28" t="str">
        <x:v>Точное</x:v>
      </x:c>
      <x:c r="J89" s="27" t="str"/>
      <x:c r="K89" s="30" t="str">
        <x:v>8da5674c-4ffa-4468-b2b9-ad6e5fdfb45f</x:v>
      </x:c>
    </x:row>
    <x:row r="90" ht="21.600000381469727" hidden="0" customHeight="1">
      <x:c r="A90" s="26" t="str">
        <x:v>7, 18</x:v>
      </x:c>
      <x:c r="B90" s="27" t="str">
        <x:v>Пицца — холодильный шкаф №6 / стол №5; Заготовочный цех</x:v>
      </x:c>
      <x:c r="C90" s="27" t="str">
        <x:v>Соус барбекю (товар)</x:v>
      </x:c>
      <x:c r="D90" s="27" t="str">
        <x:v>Барбекю соус Хайнц</x:v>
      </x:c>
      <x:c r="E90" s="26" t="str">
        <x:v>317</x:v>
      </x:c>
      <x:c r="F90" s="26" t="str">
        <x:v>кг</x:v>
      </x:c>
      <x:c r="G90" s="26" t="str">
        <x:v>Товар</x:v>
      </x:c>
      <x:c r="H90" s="29" t="n">
        <x:v>95</x:v>
      </x:c>
      <x:c r="I90" s="28" t="str">
        <x:v>Точное</x:v>
      </x:c>
      <x:c r="J90" s="27" t="str"/>
      <x:c r="K90" s="30" t="str">
        <x:v>1418218b-57eb-46be-affe-47a926b4dd07</x:v>
      </x:c>
    </x:row>
    <x:row r="91" ht="21.600000381469727" hidden="0" customHeight="1">
      <x:c r="A91" s="26" t="str">
        <x:v>7, 18</x:v>
      </x:c>
      <x:c r="B91" s="27" t="str">
        <x:v>Пицца — холодильный шкаф №6 / стол №5; Заготовочный цех</x:v>
      </x:c>
      <x:c r="C91" s="27" t="str">
        <x:v>Соус гриль тейсти (товар)</x:v>
      </x:c>
      <x:c r="D91" s="27" t="str">
        <x:v>соус гриль тейсти</x:v>
      </x:c>
      <x:c r="E91" s="26" t="str">
        <x:v>1142</x:v>
      </x:c>
      <x:c r="F91" s="26" t="str">
        <x:v>кг</x:v>
      </x:c>
      <x:c r="G91" s="26" t="str">
        <x:v>Товар</x:v>
      </x:c>
      <x:c r="H91" s="29" t="n">
        <x:v>100</x:v>
      </x:c>
      <x:c r="I91" s="28" t="str">
        <x:v>Точное</x:v>
      </x:c>
      <x:c r="J91" s="27" t="str"/>
      <x:c r="K91" s="30" t="str">
        <x:v>79f38842-58e5-4c5c-ab7f-ffacae732cfa</x:v>
      </x:c>
    </x:row>
    <x:row r="92" ht="21.600000381469727" hidden="0" customHeight="1">
      <x:c r="A92" s="26" t="str">
        <x:v>7, 10</x:v>
      </x:c>
      <x:c r="B92" s="27" t="str">
        <x:v>Пицца — холодильный шкаф №6 / стол №5; Суши-бар-отдача — холодильный стол №6</x:v>
      </x:c>
      <x:c r="C92" s="27" t="str">
        <x:v>Соус макси п/ф</x:v>
      </x:c>
      <x:c r="D92" s="27" t="str">
        <x:v>Соус Макси П.Ф.</x:v>
      </x:c>
      <x:c r="E92" s="26" t="str">
        <x:v>654</x:v>
      </x:c>
      <x:c r="F92" s="26" t="str">
        <x:v>кг</x:v>
      </x:c>
      <x:c r="G92" s="26" t="str">
        <x:v>Полуфабрикат</x:v>
      </x:c>
      <x:c r="H92" s="29" t="n">
        <x:v>100</x:v>
      </x:c>
      <x:c r="I92" s="28" t="str">
        <x:v>Точное</x:v>
      </x:c>
      <x:c r="J92" s="27" t="str"/>
      <x:c r="K92" s="30" t="str">
        <x:v>dce29934-d8f8-49c5-8469-c127f8f196a6</x:v>
      </x:c>
    </x:row>
    <x:row r="93" ht="15" hidden="0" customHeight="1">
      <x:c r="A93" s="26" t="str">
        <x:v>7</x:v>
      </x:c>
      <x:c r="B93" s="27" t="str">
        <x:v>Пицца — холодильный шкаф №6 / стол №5</x:v>
      </x:c>
      <x:c r="C93" s="27" t="str">
        <x:v>Соус сладкий чили (товар)</x:v>
      </x:c>
      <x:c r="D93" s="27" t="str">
        <x:v>Сладкий чили</x:v>
      </x:c>
      <x:c r="E93" s="26" t="str">
        <x:v>330</x:v>
      </x:c>
      <x:c r="F93" s="26" t="str">
        <x:v>кг</x:v>
      </x:c>
      <x:c r="G93" s="26" t="str">
        <x:v>Товар</x:v>
      </x:c>
      <x:c r="H93" s="29" t="n">
        <x:v>95</x:v>
      </x:c>
      <x:c r="I93" s="28" t="str">
        <x:v>Точное</x:v>
      </x:c>
      <x:c r="J93" s="27" t="str"/>
      <x:c r="K93" s="30" t="str">
        <x:v>ba34b1bc-33d4-400b-813a-b363418b3168</x:v>
      </x:c>
    </x:row>
    <x:row r="94" ht="15" hidden="0" customHeight="1">
      <x:c r="A94" s="26" t="str">
        <x:v>7</x:v>
      </x:c>
      <x:c r="B94" s="27" t="str">
        <x:v>Пицца — холодильный шкаф №6 / стол №5</x:v>
      </x:c>
      <x:c r="C94" s="27" t="str">
        <x:v>Соус сырный Heinz (товар)</x:v>
      </x:c>
      <x:c r="D94" s="27" t="str">
        <x:v>Сырный соус Хайнц</x:v>
      </x:c>
      <x:c r="E94" s="26" t="str">
        <x:v>315</x:v>
      </x:c>
      <x:c r="F94" s="26" t="str">
        <x:v>кг</x:v>
      </x:c>
      <x:c r="G94" s="26" t="str">
        <x:v>Товар</x:v>
      </x:c>
      <x:c r="H94" s="29" t="n">
        <x:v>100</x:v>
      </x:c>
      <x:c r="I94" s="28" t="str">
        <x:v>Точное</x:v>
      </x:c>
      <x:c r="J94" s="27" t="str"/>
      <x:c r="K94" s="30" t="str">
        <x:v>2c16dfd4-965f-4345-926b-e18538f58987</x:v>
      </x:c>
    </x:row>
    <x:row r="95" ht="21.600000381469727" hidden="0" customHeight="1">
      <x:c r="A95" s="26" t="str">
        <x:v>7, 10</x:v>
      </x:c>
      <x:c r="B95" s="27" t="str">
        <x:v>Пицца — холодильный шкаф №6 / стол №5; Суши-бар-отдача — холодильный стол №6</x:v>
      </x:c>
      <x:c r="C95" s="27" t="str">
        <x:v>Соус юкихиро п/ф</x:v>
      </x:c>
      <x:c r="D95" s="27" t="str">
        <x:v>Соус Юкихиро(new)</x:v>
      </x:c>
      <x:c r="E95" s="26" t="str">
        <x:v>637</x:v>
      </x:c>
      <x:c r="F95" s="26" t="str">
        <x:v>кг</x:v>
      </x:c>
      <x:c r="G95" s="26" t="str">
        <x:v>Полуфабрикат</x:v>
      </x:c>
      <x:c r="H95" s="29" t="n">
        <x:v>95</x:v>
      </x:c>
      <x:c r="I95" s="28" t="str">
        <x:v>Точное</x:v>
      </x:c>
      <x:c r="J95" s="27" t="str"/>
      <x:c r="K95" s="30" t="str">
        <x:v>a5ee1779-53c0-401e-ba3f-7cecc6a8728c</x:v>
      </x:c>
    </x:row>
    <x:row r="96" ht="21.600000381469727" hidden="0" customHeight="1">
      <x:c r="A96" s="26" t="str">
        <x:v>7, 12</x:v>
      </x:c>
      <x:c r="B96" s="27" t="str">
        <x:v>Пицца — холодильный шкаф №6 / стол №5; Суши-бар — холодильный шкаф №4 / стол №3</x:v>
      </x:c>
      <x:c r="C96" s="27" t="str">
        <x:v>Сыр Моцарелла (товар)</x:v>
      </x:c>
      <x:c r="D96" s="27" t="str">
        <x:v>Моцарелла</x:v>
      </x:c>
      <x:c r="E96" s="26" t="str">
        <x:v>352</x:v>
      </x:c>
      <x:c r="F96" s="26" t="str">
        <x:v>кг</x:v>
      </x:c>
      <x:c r="G96" s="26" t="str">
        <x:v>Товар</x:v>
      </x:c>
      <x:c r="H96" s="29" t="n">
        <x:v>100</x:v>
      </x:c>
      <x:c r="I96" s="28" t="str">
        <x:v>Точное</x:v>
      </x:c>
      <x:c r="J96" s="27" t="str"/>
      <x:c r="K96" s="30" t="str">
        <x:v>55452094-cdd5-41e2-8437-1e7b74de8d56</x:v>
      </x:c>
    </x:row>
    <x:row r="97" ht="21.600000381469727" hidden="0" customHeight="1">
      <x:c r="A97" s="26" t="str">
        <x:v>7, 9</x:v>
      </x:c>
      <x:c r="B97" s="27" t="str">
        <x:v>Пицца — холодильный шкаф №6 / стол №5; Пицца — морозильный ларь №1</x:v>
      </x:c>
      <x:c r="C97" s="27" t="str">
        <x:v>Сыр Российский (товар)</x:v>
      </x:c>
      <x:c r="D97" s="27" t="str">
        <x:v>Российский сыр</x:v>
      </x:c>
      <x:c r="E97" s="26" t="str">
        <x:v>378</x:v>
      </x:c>
      <x:c r="F97" s="26" t="str">
        <x:v>кг</x:v>
      </x:c>
      <x:c r="G97" s="26" t="str">
        <x:v>Товар</x:v>
      </x:c>
      <x:c r="H97" s="29" t="n">
        <x:v>100</x:v>
      </x:c>
      <x:c r="I97" s="28" t="str">
        <x:v>Точное</x:v>
      </x:c>
      <x:c r="J97" s="27" t="str"/>
      <x:c r="K97" s="30" t="str">
        <x:v>21365c13-6c19-411b-b203-e2b54e79002e</x:v>
      </x:c>
    </x:row>
    <x:row r="98" ht="21.600000381469727" hidden="0" customHeight="1">
      <x:c r="A98" s="26" t="str">
        <x:v>7, 10</x:v>
      </x:c>
      <x:c r="B98" s="27" t="str">
        <x:v>Пицца — холодильный шкаф №6 / стол №5; Суши-бар-отдача — холодильный стол №6</x:v>
      </x:c>
      <x:c r="C98" s="27" t="str">
        <x:v>Сыр Чеддер (товар)</x:v>
      </x:c>
      <x:c r="D98" s="27" t="str">
        <x:v>Чеддер</x:v>
      </x:c>
      <x:c r="E98" s="26" t="str">
        <x:v>342</x:v>
      </x:c>
      <x:c r="F98" s="26" t="str">
        <x:v>кг</x:v>
      </x:c>
      <x:c r="G98" s="26" t="str">
        <x:v>Товар</x:v>
      </x:c>
      <x:c r="H98" s="29" t="n">
        <x:v>100</x:v>
      </x:c>
      <x:c r="I98" s="28" t="str">
        <x:v>Точное</x:v>
      </x:c>
      <x:c r="J98" s="27" t="str"/>
      <x:c r="K98" s="30" t="str">
        <x:v>f75820bf-1360-4122-a311-c2e3a7bedd03</x:v>
      </x:c>
    </x:row>
    <x:row r="99" ht="15" hidden="0" customHeight="1">
      <x:c r="A99" s="26" t="str">
        <x:v>7</x:v>
      </x:c>
      <x:c r="B99" s="27" t="str">
        <x:v>Пицца — холодильный шкаф №6 / стол №5</x:v>
      </x:c>
      <x:c r="C99" s="27" t="str">
        <x:v>Шрирача (товар)</x:v>
      </x:c>
      <x:c r="D99" s="27" t="str">
        <x:v>Соус Шрирача Uni-Eagle</x:v>
      </x:c>
      <x:c r="E99" s="26" t="str">
        <x:v>304</x:v>
      </x:c>
      <x:c r="F99" s="26" t="str">
        <x:v>кг</x:v>
      </x:c>
      <x:c r="G99" s="26" t="str">
        <x:v>Товар</x:v>
      </x:c>
      <x:c r="H99" s="29" t="n">
        <x:v>95</x:v>
      </x:c>
      <x:c r="I99" s="28" t="str">
        <x:v>Точное</x:v>
      </x:c>
      <x:c r="J99" s="27" t="str"/>
      <x:c r="K99" s="30" t="str">
        <x:v>ced6c2f6-d132-402d-835b-5110b6abc659</x:v>
      </x:c>
    </x:row>
    <x:row r="100" ht="21.600000381469727" hidden="0" customHeight="1">
      <x:c r="A100" s="26" t="str">
        <x:v>8, 11</x:v>
      </x:c>
      <x:c r="B100" s="27" t="str">
        <x:v>Пицца — холодильный шкаф №6 / стол №5; Суши-бар — холодильный шкаф №4 / стол №3</x:v>
      </x:c>
      <x:c r="C100" s="27" t="str">
        <x:v>Айсберг (товар)</x:v>
      </x:c>
      <x:c r="D100" s="27" t="str">
        <x:v>Лист салата</x:v>
      </x:c>
      <x:c r="E100" s="26" t="str">
        <x:v>366</x:v>
      </x:c>
      <x:c r="F100" s="26" t="str">
        <x:v>кг</x:v>
      </x:c>
      <x:c r="G100" s="26" t="str">
        <x:v>Товар</x:v>
      </x:c>
      <x:c r="H100" s="29" t="n">
        <x:v>65</x:v>
      </x:c>
      <x:c r="I100" s="28" t="str">
        <x:v>Требует проверки</x:v>
      </x:c>
      <x:c r="J100" s="27" t="str">
        <x:v>В IIKO нет отдельного «Айсберга»; сопоставлено с более общей позицией «Лист салата».</x:v>
      </x:c>
      <x:c r="K100" s="30" t="str">
        <x:v>44bc9abc-ab21-4bce-ace9-333e8e2eac80</x:v>
      </x:c>
    </x:row>
    <x:row r="101" ht="15" hidden="0" customHeight="1">
      <x:c r="A101" s="26" t="str">
        <x:v>8</x:v>
      </x:c>
      <x:c r="B101" s="27" t="str">
        <x:v>Пицца — холодильный шкаф №6 / стол №5</x:v>
      </x:c>
      <x:c r="C101" s="27" t="str">
        <x:v>Перец чили ч/в (товар)</x:v>
      </x:c>
      <x:c r="D101" s="27" t="str">
        <x:v>Перец чили</x:v>
      </x:c>
      <x:c r="E101" s="26" t="str">
        <x:v>480</x:v>
      </x:c>
      <x:c r="F101" s="26" t="str">
        <x:v>кг</x:v>
      </x:c>
      <x:c r="G101" s="26" t="str">
        <x:v>Товар</x:v>
      </x:c>
      <x:c r="H101" s="29" t="n">
        <x:v>95</x:v>
      </x:c>
      <x:c r="I101" s="28" t="str">
        <x:v>Точное</x:v>
      </x:c>
      <x:c r="J101" s="27" t="str"/>
      <x:c r="K101" s="30" t="str">
        <x:v>83f53898-0dfb-4111-8bb7-da7ee1248c99</x:v>
      </x:c>
    </x:row>
    <x:row r="102" ht="15" hidden="0" customHeight="1">
      <x:c r="A102" s="26" t="str">
        <x:v>8</x:v>
      </x:c>
      <x:c r="B102" s="27" t="str">
        <x:v>Пицца — холодильный шкаф №6 / стол №5</x:v>
      </x:c>
      <x:c r="C102" s="27" t="str">
        <x:v>Тесто п/ф</x:v>
      </x:c>
      <x:c r="D102" s="27" t="str">
        <x:v>Тесто</x:v>
      </x:c>
      <x:c r="E102" s="26" t="str">
        <x:v>471</x:v>
      </x:c>
      <x:c r="F102" s="26" t="str">
        <x:v>кг</x:v>
      </x:c>
      <x:c r="G102" s="26" t="str">
        <x:v>Полуфабрикат</x:v>
      </x:c>
      <x:c r="H102" s="29" t="n">
        <x:v>100</x:v>
      </x:c>
      <x:c r="I102" s="28" t="str">
        <x:v>Точное</x:v>
      </x:c>
      <x:c r="J102" s="27" t="str"/>
      <x:c r="K102" s="30" t="str">
        <x:v>3f400e65-8a8a-41f6-9cfb-750541be00ea</x:v>
      </x:c>
    </x:row>
    <x:row r="103" ht="15" hidden="0" customHeight="1">
      <x:c r="A103" s="26" t="str">
        <x:v>9</x:v>
      </x:c>
      <x:c r="B103" s="27" t="str">
        <x:v>Пицца — морозильный ларь №1</x:v>
      </x:c>
      <x:c r="C103" s="27" t="str">
        <x:v>Буженина п/ф вакуум</x:v>
      </x:c>
      <x:c r="D103" s="27" t="str">
        <x:v>Буженина п/ф</x:v>
      </x:c>
      <x:c r="E103" s="26" t="str">
        <x:v>428</x:v>
      </x:c>
      <x:c r="F103" s="26" t="str">
        <x:v>кг</x:v>
      </x:c>
      <x:c r="G103" s="26" t="str">
        <x:v>Полуфабрикат</x:v>
      </x:c>
      <x:c r="H103" s="29" t="n">
        <x:v>95</x:v>
      </x:c>
      <x:c r="I103" s="28" t="str">
        <x:v>Точное</x:v>
      </x:c>
      <x:c r="J103" s="27" t="str"/>
      <x:c r="K103" s="30" t="str">
        <x:v>0c861f23-f3f1-4be3-98bf-e8c7f53dd0de</x:v>
      </x:c>
    </x:row>
    <x:row r="104" ht="15" hidden="0" customHeight="1">
      <x:c r="A104" s="26" t="str">
        <x:v>9</x:v>
      </x:c>
      <x:c r="B104" s="27" t="str">
        <x:v>Пицца — морозильный ларь №1</x:v>
      </x:c>
      <x:c r="C104" s="27" t="str">
        <x:v>Ветчина вакуум (товар)</x:v>
      </x:c>
      <x:c r="D104" s="27" t="str">
        <x:v>Ветчина</x:v>
      </x:c>
      <x:c r="E104" s="26" t="str">
        <x:v>338</x:v>
      </x:c>
      <x:c r="F104" s="26" t="str">
        <x:v>кг</x:v>
      </x:c>
      <x:c r="G104" s="26" t="str">
        <x:v>Товар</x:v>
      </x:c>
      <x:c r="H104" s="29" t="n">
        <x:v>95</x:v>
      </x:c>
      <x:c r="I104" s="28" t="str">
        <x:v>Точное</x:v>
      </x:c>
      <x:c r="J104" s="27" t="str"/>
      <x:c r="K104" s="30" t="str">
        <x:v>c7ebf913-5d41-4512-bd18-1064bf61186e</x:v>
      </x:c>
    </x:row>
    <x:row r="105" ht="15" hidden="0" customHeight="1">
      <x:c r="A105" s="26" t="str">
        <x:v>9</x:v>
      </x:c>
      <x:c r="B105" s="27" t="str">
        <x:v>Пицца — морозильный ларь №1</x:v>
      </x:c>
      <x:c r="C105" s="27" t="str">
        <x:v>Карбонат вакуум (товар)</x:v>
      </x:c>
      <x:c r="D105" s="27" t="str">
        <x:v>Карбонад</x:v>
      </x:c>
      <x:c r="E105" s="26" t="str">
        <x:v>357</x:v>
      </x:c>
      <x:c r="F105" s="26" t="str">
        <x:v>кг</x:v>
      </x:c>
      <x:c r="G105" s="26" t="str">
        <x:v>Товар</x:v>
      </x:c>
      <x:c r="H105" s="29" t="n">
        <x:v>90</x:v>
      </x:c>
      <x:c r="I105" s="28" t="str">
        <x:v>По смыслу</x:v>
      </x:c>
      <x:c r="J105" s="27" t="str">
        <x:v>Сопоставлено с «Карбонад»; в листе написано «карбонат».</x:v>
      </x:c>
      <x:c r="K105" s="30" t="str">
        <x:v>f9233ba8-7d5f-47b6-8e41-8b85ed67dcf0</x:v>
      </x:c>
    </x:row>
    <x:row r="106" ht="15" hidden="0" customHeight="1">
      <x:c r="A106" s="26" t="str">
        <x:v>9</x:v>
      </x:c>
      <x:c r="B106" s="27" t="str">
        <x:v>Пицца — морозильный ларь №1</x:v>
      </x:c>
      <x:c r="C106" s="27" t="str">
        <x:v>Креветка чищенная вакуум пицца п/ф</x:v>
      </x:c>
      <x:c r="D106" s="27" t="str">
        <x:v>креветки чищ (сырые на пиццу)</x:v>
      </x:c>
      <x:c r="E106" s="26" t="str">
        <x:v>1164</x:v>
      </x:c>
      <x:c r="F106" s="26" t="str">
        <x:v>кг</x:v>
      </x:c>
      <x:c r="G106" s="26" t="str">
        <x:v>Полуфабрикат</x:v>
      </x:c>
      <x:c r="H106" s="29" t="n">
        <x:v>95</x:v>
      </x:c>
      <x:c r="I106" s="28" t="str">
        <x:v>Точное</x:v>
      </x:c>
      <x:c r="J106" s="27" t="str"/>
      <x:c r="K106" s="30" t="str">
        <x:v>5f1efc83-ff4d-445c-bb16-88681fcb3fb5</x:v>
      </x:c>
    </x:row>
    <x:row r="107" ht="15" hidden="0" customHeight="1">
      <x:c r="A107" s="26" t="str">
        <x:v>9</x:v>
      </x:c>
      <x:c r="B107" s="27" t="str">
        <x:v>Пицца — морозильный ларь №1</x:v>
      </x:c>
      <x:c r="C107" s="27" t="str">
        <x:v>Курица запечённая п/ф</x:v>
      </x:c>
      <x:c r="D107" s="27" t="str">
        <x:v>Курица запеченная</x:v>
      </x:c>
      <x:c r="E107" s="26" t="str">
        <x:v>426</x:v>
      </x:c>
      <x:c r="F107" s="26" t="str">
        <x:v>кг</x:v>
      </x:c>
      <x:c r="G107" s="26" t="str">
        <x:v>Полуфабрикат</x:v>
      </x:c>
      <x:c r="H107" s="29" t="n">
        <x:v>100</x:v>
      </x:c>
      <x:c r="I107" s="28" t="str">
        <x:v>Точное</x:v>
      </x:c>
      <x:c r="J107" s="27" t="str"/>
      <x:c r="K107" s="30" t="str">
        <x:v>e0cd329b-9b53-4521-b3b4-3ef2d862b9f0</x:v>
      </x:c>
    </x:row>
    <x:row r="108" ht="15" hidden="0" customHeight="1">
      <x:c r="A108" s="26" t="str">
        <x:v>9</x:v>
      </x:c>
      <x:c r="B108" s="27" t="str">
        <x:v>Пицца — морозильный ларь №1</x:v>
      </x:c>
      <x:c r="C108" s="27" t="str">
        <x:v>Охотничьи колбаски вакуум (товар)</x:v>
      </x:c>
      <x:c r="D108" s="27" t="str">
        <x:v>Колбаски охотничьи</x:v>
      </x:c>
      <x:c r="E108" s="26" t="str">
        <x:v>309</x:v>
      </x:c>
      <x:c r="F108" s="26" t="str">
        <x:v>кг</x:v>
      </x:c>
      <x:c r="G108" s="26" t="str">
        <x:v>Товар</x:v>
      </x:c>
      <x:c r="H108" s="29" t="n">
        <x:v>90</x:v>
      </x:c>
      <x:c r="I108" s="28" t="str">
        <x:v>По смыслу</x:v>
      </x:c>
      <x:c r="J108" s="27" t="str"/>
      <x:c r="K108" s="30" t="str">
        <x:v>37fd81e9-a15d-4c2b-934c-6c7c5bb3b340</x:v>
      </x:c>
    </x:row>
    <x:row r="109" ht="15" hidden="0" customHeight="1">
      <x:c r="A109" s="26" t="str">
        <x:v>9</x:v>
      </x:c>
      <x:c r="B109" s="27" t="str">
        <x:v>Пицца — морозильный ларь №1</x:v>
      </x:c>
      <x:c r="C109" s="27" t="str">
        <x:v>Салями вакуум (товар)</x:v>
      </x:c>
      <x:c r="D109" s="27" t="str">
        <x:v>Салями</x:v>
      </x:c>
      <x:c r="E109" s="26" t="str">
        <x:v>325</x:v>
      </x:c>
      <x:c r="F109" s="26" t="str">
        <x:v>кг</x:v>
      </x:c>
      <x:c r="G109" s="26" t="str">
        <x:v>Товар</x:v>
      </x:c>
      <x:c r="H109" s="29" t="n">
        <x:v>95</x:v>
      </x:c>
      <x:c r="I109" s="28" t="str">
        <x:v>Точное</x:v>
      </x:c>
      <x:c r="J109" s="27" t="str"/>
      <x:c r="K109" s="30" t="str">
        <x:v>1c5b9b21-a94b-486c-9e86-fd853be7d9b8</x:v>
      </x:c>
    </x:row>
    <x:row r="110" ht="15" hidden="0" customHeight="1">
      <x:c r="A110" s="26" t="str">
        <x:v>9</x:v>
      </x:c>
      <x:c r="B110" s="27" t="str">
        <x:v>Пицца — морозильный ларь №1</x:v>
      </x:c>
      <x:c r="C110" s="27" t="str">
        <x:v>Свиная шея (товар)</x:v>
      </x:c>
      <x:c r="D110" s="27" t="str">
        <x:v>Свинина</x:v>
      </x:c>
      <x:c r="E110" s="26" t="str">
        <x:v>427</x:v>
      </x:c>
      <x:c r="F110" s="26" t="str">
        <x:v>кг</x:v>
      </x:c>
      <x:c r="G110" s="26" t="str">
        <x:v>Товар</x:v>
      </x:c>
      <x:c r="H110" s="29" t="n">
        <x:v>60</x:v>
      </x:c>
      <x:c r="I110" s="28" t="str">
        <x:v>Требует проверки</x:v>
      </x:c>
      <x:c r="J110" s="27" t="str">
        <x:v>В IIKO найдена только более общая позиция «Свинина»; отруб не указан.</x:v>
      </x:c>
      <x:c r="K110" s="30" t="str">
        <x:v>f6a155a2-82e9-477d-bd0e-b9b0db4107b8</x:v>
      </x:c>
    </x:row>
    <x:row r="111" ht="15" hidden="0" customHeight="1">
      <x:c r="A111" s="26" t="str">
        <x:v>9</x:v>
      </x:c>
      <x:c r="B111" s="27" t="str">
        <x:v>Пицца — морозильный ларь №1</x:v>
      </x:c>
      <x:c r="C111" s="27" t="str">
        <x:v>Сыр Пармезан тёртый (товар)</x:v>
      </x:c>
      <x:c r="D111" s="27" t="str">
        <x:v>Пармезан ингредиент</x:v>
      </x:c>
      <x:c r="E111" s="26" t="str">
        <x:v>397</x:v>
      </x:c>
      <x:c r="F111" s="26" t="str">
        <x:v>кг</x:v>
      </x:c>
      <x:c r="G111" s="26" t="str">
        <x:v>Товар</x:v>
      </x:c>
      <x:c r="H111" s="29" t="n">
        <x:v>90</x:v>
      </x:c>
      <x:c r="I111" s="28" t="str">
        <x:v>По смыслу</x:v>
      </x:c>
      <x:c r="J111" s="27" t="str"/>
      <x:c r="K111" s="30" t="str">
        <x:v>213ab6c4-dca5-4f6d-abfb-46515764f703</x:v>
      </x:c>
    </x:row>
    <x:row r="112" ht="15" hidden="0" customHeight="1">
      <x:c r="A112" s="26" t="str">
        <x:v>9</x:v>
      </x:c>
      <x:c r="B112" s="27" t="str">
        <x:v>Пицца — морозильный ларь №1</x:v>
      </x:c>
      <x:c r="C112" s="27" t="str">
        <x:v>Сыр с голубой плесенью (товар)</x:v>
      </x:c>
      <x:c r="D112" s="27" t="str">
        <x:v>Сыр с голубой плесенью</x:v>
      </x:c>
      <x:c r="E112" s="26" t="str">
        <x:v>302</x:v>
      </x:c>
      <x:c r="F112" s="26" t="str">
        <x:v>кг</x:v>
      </x:c>
      <x:c r="G112" s="26" t="str">
        <x:v>Товар</x:v>
      </x:c>
      <x:c r="H112" s="29" t="n">
        <x:v>100</x:v>
      </x:c>
      <x:c r="I112" s="28" t="str">
        <x:v>Точное</x:v>
      </x:c>
      <x:c r="J112" s="27" t="str"/>
      <x:c r="K112" s="30" t="str">
        <x:v>2daeab0b-01c2-4e1e-afdb-13a9ec72e510</x:v>
      </x:c>
    </x:row>
    <x:row r="113" ht="15" hidden="0" customHeight="1">
      <x:c r="A113" s="26" t="str">
        <x:v>9</x:v>
      </x:c>
      <x:c r="B113" s="27" t="str">
        <x:v>Пицца — морозильный ларь №1</x:v>
      </x:c>
      <x:c r="C113" s="27" t="str">
        <x:v>Фарш свинина-говядина п/ф</x:v>
      </x:c>
      <x:c r="D113" s="27" t="str">
        <x:v>фарш свино-говяжий п/ф</x:v>
      </x:c>
      <x:c r="E113" s="26" t="str">
        <x:v>1239</x:v>
      </x:c>
      <x:c r="F113" s="26" t="str">
        <x:v>кг</x:v>
      </x:c>
      <x:c r="G113" s="26" t="str">
        <x:v>Полуфабрикат</x:v>
      </x:c>
      <x:c r="H113" s="29" t="n">
        <x:v>100</x:v>
      </x:c>
      <x:c r="I113" s="28" t="str">
        <x:v>Точное</x:v>
      </x:c>
      <x:c r="J113" s="27" t="str"/>
      <x:c r="K113" s="30" t="str">
        <x:v>ec6d5898-fa6d-4533-b2a5-08d93ee8df83</x:v>
      </x:c>
    </x:row>
    <x:row r="114" ht="21.600000381469727" hidden="0" customHeight="1">
      <x:c r="A114" s="26" t="str">
        <x:v>10, 15</x:v>
      </x:c>
      <x:c r="B114" s="27" t="str">
        <x:v>Суши-бар-отдача — холодильный стол №6; Сухой склад</x:v>
      </x:c>
      <x:c r="C114" s="27" t="str">
        <x:v>Аджиномото (товар)</x:v>
      </x:c>
      <x:c r="D114" s="27" t="str">
        <x:v>усилитель вкуса</x:v>
      </x:c>
      <x:c r="E114" s="26" t="str">
        <x:v>1286</x:v>
      </x:c>
      <x:c r="F114" s="26" t="str">
        <x:v>кг</x:v>
      </x:c>
      <x:c r="G114" s="26" t="str">
        <x:v>Товар</x:v>
      </x:c>
      <x:c r="H114" s="29" t="n">
        <x:v>90</x:v>
      </x:c>
      <x:c r="I114" s="28" t="str">
        <x:v>По смыслу</x:v>
      </x:c>
      <x:c r="J114" s="27" t="str">
        <x:v>Аджиномото сопоставлено с товаром «усилитель вкуса».</x:v>
      </x:c>
      <x:c r="K114" s="30" t="str">
        <x:v>5285c185-fd3d-4856-b1b2-a7c9d4e59eea</x:v>
      </x:c>
    </x:row>
    <x:row r="115" ht="15" hidden="0" customHeight="1">
      <x:c r="A115" s="26" t="str">
        <x:v>10</x:v>
      </x:c>
      <x:c r="B115" s="27" t="str">
        <x:v>Суши-бар-отдача — холодильный стол №6</x:v>
      </x:c>
      <x:c r="C115" s="27" t="str">
        <x:v>Кляр п/ф</x:v>
      </x:c>
      <x:c r="D115" s="27" t="str">
        <x:v>Кляр</x:v>
      </x:c>
      <x:c r="E115" s="26" t="str">
        <x:v>389</x:v>
      </x:c>
      <x:c r="F115" s="26" t="str">
        <x:v>кг</x:v>
      </x:c>
      <x:c r="G115" s="26" t="str">
        <x:v>Полуфабрикат</x:v>
      </x:c>
      <x:c r="H115" s="29" t="n">
        <x:v>100</x:v>
      </x:c>
      <x:c r="I115" s="28" t="str">
        <x:v>Точное</x:v>
      </x:c>
      <x:c r="J115" s="27" t="str"/>
      <x:c r="K115" s="30" t="str">
        <x:v>16ff10d9-6516-4a65-a843-fc72c9639e45</x:v>
      </x:c>
    </x:row>
    <x:row r="116" ht="21.600000381469727" hidden="0" customHeight="1">
      <x:c r="A116" s="26" t="str">
        <x:v>10, 15</x:v>
      </x:c>
      <x:c r="B116" s="27" t="str">
        <x:v>Суши-бар-отдача — холодильный стол №6; Сухой склад</x:v>
      </x:c>
      <x:c r="C116" s="27" t="str">
        <x:v>Кунжут (товар)</x:v>
      </x:c>
      <x:c r="D116" s="27" t="str">
        <x:v>Кунжут белый</x:v>
      </x:c>
      <x:c r="E116" s="26" t="str">
        <x:v>300</x:v>
      </x:c>
      <x:c r="F116" s="26" t="str">
        <x:v>кг</x:v>
      </x:c>
      <x:c r="G116" s="26" t="str">
        <x:v>Товар</x:v>
      </x:c>
      <x:c r="H116" s="29" t="n">
        <x:v>95</x:v>
      </x:c>
      <x:c r="I116" s="28" t="str">
        <x:v>Точное</x:v>
      </x:c>
      <x:c r="J116" s="27" t="str"/>
      <x:c r="K116" s="30" t="str">
        <x:v>a9eb0f18-d512-4053-aeee-19c2034e42fb</x:v>
      </x:c>
    </x:row>
    <x:row r="117" ht="21.600000381469727" hidden="0" customHeight="1">
      <x:c r="A117" s="26" t="str">
        <x:v>10, 16</x:v>
      </x:c>
      <x:c r="B117" s="27" t="str">
        <x:v>Суши-бар-отдача — холодильный стол №6; Сухой склад</x:v>
      </x:c>
      <x:c r="C117" s="27" t="str">
        <x:v>Манго-чили (товар)</x:v>
      </x:c>
      <x:c r="D117" s="27" t="str">
        <x:v>Соус манго чили</x:v>
      </x:c>
      <x:c r="E117" s="26" t="str">
        <x:v>1240</x:v>
      </x:c>
      <x:c r="F117" s="26" t="str">
        <x:v>кг</x:v>
      </x:c>
      <x:c r="G117" s="26" t="str">
        <x:v>Товар</x:v>
      </x:c>
      <x:c r="H117" s="29" t="n">
        <x:v>100</x:v>
      </x:c>
      <x:c r="I117" s="28" t="str">
        <x:v>Точное</x:v>
      </x:c>
      <x:c r="J117" s="27" t="str"/>
      <x:c r="K117" s="30" t="str">
        <x:v>088d384f-8aad-42e0-9b63-b127b7255b05</x:v>
      </x:c>
    </x:row>
    <x:row r="118" ht="15" hidden="0" customHeight="1">
      <x:c r="A118" s="26" t="str">
        <x:v>10</x:v>
      </x:c>
      <x:c r="B118" s="27" t="str">
        <x:v>Суши-бар-отдача — холодильный стол №6</x:v>
      </x:c>
      <x:c r="C118" s="27" t="str">
        <x:v>Перец чёрный (товар)</x:v>
      </x:c>
      <x:c r="D118" s="27" t="str">
        <x:v>Перец черный молотый</x:v>
      </x:c>
      <x:c r="E118" s="26" t="str">
        <x:v>307</x:v>
      </x:c>
      <x:c r="F118" s="26" t="str">
        <x:v>кг</x:v>
      </x:c>
      <x:c r="G118" s="26" t="str">
        <x:v>Товар</x:v>
      </x:c>
      <x:c r="H118" s="29" t="n">
        <x:v>95</x:v>
      </x:c>
      <x:c r="I118" s="28" t="str">
        <x:v>Точное</x:v>
      </x:c>
      <x:c r="J118" s="27" t="str"/>
      <x:c r="K118" s="30" t="str">
        <x:v>6050aee7-03f5-4cfb-bb66-284de0fb8ad8</x:v>
      </x:c>
    </x:row>
    <x:row r="119" ht="15" hidden="0" customHeight="1">
      <x:c r="A119" s="26" t="str">
        <x:v>10</x:v>
      </x:c>
      <x:c r="B119" s="27" t="str">
        <x:v>Суши-бар-отдача — холодильный стол №6</x:v>
      </x:c>
      <x:c r="C119" s="27" t="str">
        <x:v>Соус лава п/ф</x:v>
      </x:c>
      <x:c r="D119" s="27" t="str">
        <x:v>Соус Лава</x:v>
      </x:c>
      <x:c r="E119" s="26" t="str">
        <x:v>639</x:v>
      </x:c>
      <x:c r="F119" s="26" t="str">
        <x:v>кг</x:v>
      </x:c>
      <x:c r="G119" s="26" t="str">
        <x:v>Полуфабрикат</x:v>
      </x:c>
      <x:c r="H119" s="29" t="n">
        <x:v>100</x:v>
      </x:c>
      <x:c r="I119" s="28" t="str">
        <x:v>Точное</x:v>
      </x:c>
      <x:c r="J119" s="27" t="str"/>
      <x:c r="K119" s="30" t="str">
        <x:v>6ad9e1a0-9c13-44ca-b1b4-904f1b9bb11a</x:v>
      </x:c>
    </x:row>
    <x:row r="120" ht="15" hidden="0" customHeight="1">
      <x:c r="A120" s="26" t="str">
        <x:v>10</x:v>
      </x:c>
      <x:c r="B120" s="27" t="str">
        <x:v>Суши-бар-отдача — холодильный стол №6</x:v>
      </x:c>
      <x:c r="C120" s="27" t="str">
        <x:v>Соус острый с крабом п/ф</x:v>
      </x:c>
      <x:c r="D120" s="27" t="str">
        <x:v>Соус острый с крабом</x:v>
      </x:c>
      <x:c r="E120" s="26" t="str">
        <x:v>404</x:v>
      </x:c>
      <x:c r="F120" s="26" t="str">
        <x:v>кг</x:v>
      </x:c>
      <x:c r="G120" s="26" t="str">
        <x:v>Полуфабрикат</x:v>
      </x:c>
      <x:c r="H120" s="29" t="n">
        <x:v>100</x:v>
      </x:c>
      <x:c r="I120" s="28" t="str">
        <x:v>Точное</x:v>
      </x:c>
      <x:c r="J120" s="27" t="str"/>
      <x:c r="K120" s="30" t="str">
        <x:v>397a95e8-76bf-4d2f-b7b9-0850d3ea60c3</x:v>
      </x:c>
    </x:row>
    <x:row r="121" ht="15" hidden="0" customHeight="1">
      <x:c r="A121" s="26" t="str">
        <x:v>10</x:v>
      </x:c>
      <x:c r="B121" s="27" t="str">
        <x:v>Суши-бар-отдача — холодильный стол №6</x:v>
      </x:c>
      <x:c r="C121" s="27" t="str">
        <x:v>Соус спайси п/ф</x:v>
      </x:c>
      <x:c r="D121" s="27" t="str">
        <x:v>Соус спайси NEW</x:v>
      </x:c>
      <x:c r="E121" s="26" t="str">
        <x:v>1293</x:v>
      </x:c>
      <x:c r="F121" s="26" t="str">
        <x:v>кг</x:v>
      </x:c>
      <x:c r="G121" s="26" t="str">
        <x:v>Полуфабрикат</x:v>
      </x:c>
      <x:c r="H121" s="29" t="n">
        <x:v>75</x:v>
      </x:c>
      <x:c r="I121" s="28" t="str">
        <x:v>По смыслу</x:v>
      </x:c>
      <x:c r="J121" s="27" t="str">
        <x:v>Выбран «Соус спайси NEW». В IIKO также активен «Спайси соус полуфабрикат» (код 386).</x:v>
      </x:c>
      <x:c r="K121" s="30" t="str">
        <x:v>b0eeef85-f93f-4686-8175-81b368854122</x:v>
      </x:c>
    </x:row>
    <x:row r="122" ht="15" hidden="0" customHeight="1">
      <x:c r="A122" s="26" t="str">
        <x:v>10</x:v>
      </x:c>
      <x:c r="B122" s="27" t="str">
        <x:v>Суши-бар-отдача — холодильный стол №6</x:v>
      </x:c>
      <x:c r="C122" s="27" t="str">
        <x:v>Соус сырный п/ф</x:v>
      </x:c>
      <x:c r="D122" s="27" t="str">
        <x:v>Сырный соус роллы</x:v>
      </x:c>
      <x:c r="E122" s="26" t="str">
        <x:v>398</x:v>
      </x:c>
      <x:c r="F122" s="26" t="str">
        <x:v>кг</x:v>
      </x:c>
      <x:c r="G122" s="26" t="str">
        <x:v>Полуфабрикат</x:v>
      </x:c>
      <x:c r="H122" s="29" t="n">
        <x:v>90</x:v>
      </x:c>
      <x:c r="I122" s="28" t="str">
        <x:v>По смыслу</x:v>
      </x:c>
      <x:c r="J122" s="27" t="str">
        <x:v>По контексту суши-бара выбран «Сырный соус роллы».</x:v>
      </x:c>
      <x:c r="K122" s="30" t="str">
        <x:v>e245e658-299d-4457-98fa-4b59ae9a3f95</x:v>
      </x:c>
    </x:row>
    <x:row r="123" ht="15" hidden="0" customHeight="1">
      <x:c r="A123" s="26" t="str">
        <x:v>10</x:v>
      </x:c>
      <x:c r="B123" s="27" t="str">
        <x:v>Суши-бар-отдача — холодильный стол №6</x:v>
      </x:c>
      <x:c r="C123" s="27" t="str">
        <x:v>Соус том-ям п/ф</x:v>
      </x:c>
      <x:c r="D123" s="27" t="str">
        <x:v>соус том-ям</x:v>
      </x:c>
      <x:c r="E123" s="26" t="str">
        <x:v>1311</x:v>
      </x:c>
      <x:c r="F123" s="26" t="str">
        <x:v>кг</x:v>
      </x:c>
      <x:c r="G123" s="26" t="str">
        <x:v>Полуфабрикат</x:v>
      </x:c>
      <x:c r="H123" s="29" t="n">
        <x:v>100</x:v>
      </x:c>
      <x:c r="I123" s="28" t="str">
        <x:v>Точное</x:v>
      </x:c>
      <x:c r="J123" s="27" t="str"/>
      <x:c r="K123" s="30" t="str">
        <x:v>986aabd6-696b-4df6-8488-858ec019e999</x:v>
      </x:c>
    </x:row>
    <x:row r="124" ht="15" hidden="0" customHeight="1">
      <x:c r="A124" s="26" t="str">
        <x:v>10</x:v>
      </x:c>
      <x:c r="B124" s="27" t="str">
        <x:v>Суши-бар-отдача — холодильный стол №6</x:v>
      </x:c>
      <x:c r="C124" s="27" t="str">
        <x:v>Соус яки п/ф</x:v>
      </x:c>
      <x:c r="D124" s="27" t="str">
        <x:v>НОВЫЙ яки</x:v>
      </x:c>
      <x:c r="E124" s="26" t="str">
        <x:v>1294</x:v>
      </x:c>
      <x:c r="F124" s="26" t="str">
        <x:v>кг</x:v>
      </x:c>
      <x:c r="G124" s="26" t="str">
        <x:v>Полуфабрикат</x:v>
      </x:c>
      <x:c r="H124" s="29" t="n">
        <x:v>70</x:v>
      </x:c>
      <x:c r="I124" s="28" t="str">
        <x:v>Требует проверки</x:v>
      </x:c>
      <x:c r="J124" s="27" t="str">
        <x:v>Выбран «НОВЫЙ яки». В IIKO также активен «Яки соус(парм)» (код 652).</x:v>
      </x:c>
      <x:c r="K124" s="30" t="str">
        <x:v>40d50408-939e-4dc0-bdeb-f030883bc049</x:v>
      </x:c>
    </x:row>
    <x:row r="125" ht="15" hidden="0" customHeight="1">
      <x:c r="A125" s="26" t="str">
        <x:v>10</x:v>
      </x:c>
      <x:c r="B125" s="27" t="str">
        <x:v>Суши-бар-отдача — холодильный стол №6</x:v>
      </x:c>
      <x:c r="C125" s="27" t="str">
        <x:v>Стружка кокоса (товар)</x:v>
      </x:c>
      <x:c r="D125" s="27" t="str">
        <x:v>Кокосовая стружка</x:v>
      </x:c>
      <x:c r="E125" s="26" t="str">
        <x:v>1111</x:v>
      </x:c>
      <x:c r="F125" s="26" t="str">
        <x:v>кг</x:v>
      </x:c>
      <x:c r="G125" s="26" t="str">
        <x:v>Товар</x:v>
      </x:c>
      <x:c r="H125" s="29" t="n">
        <x:v>95</x:v>
      </x:c>
      <x:c r="I125" s="28" t="str">
        <x:v>Точное</x:v>
      </x:c>
      <x:c r="J125" s="27" t="str"/>
      <x:c r="K125" s="30" t="str">
        <x:v>33c9e40c-740f-4acf-aa74-efad1bf74713</x:v>
      </x:c>
    </x:row>
    <x:row r="126" ht="21.600000381469727" hidden="0" customHeight="1">
      <x:c r="A126" s="26" t="str">
        <x:v>10, 15</x:v>
      </x:c>
      <x:c r="B126" s="27" t="str">
        <x:v>Суши-бар-отдача — холодильный стол №6; Сухой склад</x:v>
      </x:c>
      <x:c r="C126" s="27" t="str">
        <x:v>Сухари Голд (товар)</x:v>
      </x:c>
      <x:c r="D126" s="27" t="str">
        <x:v>Сухари Голд</x:v>
      </x:c>
      <x:c r="E126" s="26" t="str">
        <x:v>659</x:v>
      </x:c>
      <x:c r="F126" s="26" t="str">
        <x:v>кг</x:v>
      </x:c>
      <x:c r="G126" s="26" t="str">
        <x:v>Товар</x:v>
      </x:c>
      <x:c r="H126" s="29" t="n">
        <x:v>100</x:v>
      </x:c>
      <x:c r="I126" s="28" t="str">
        <x:v>Точное</x:v>
      </x:c>
      <x:c r="J126" s="27" t="str"/>
      <x:c r="K126" s="30" t="str">
        <x:v>f1bb5ee8-2f9a-48d2-af15-65c69419568e</x:v>
      </x:c>
    </x:row>
    <x:row r="127" ht="15" hidden="0" customHeight="1">
      <x:c r="A127" s="26" t="str">
        <x:v>10</x:v>
      </x:c>
      <x:c r="B127" s="27" t="str">
        <x:v>Суши-бар-отдача — холодильный стол №6</x:v>
      </x:c>
      <x:c r="C127" s="27" t="str">
        <x:v>Унаги (товар)</x:v>
      </x:c>
      <x:c r="D127" s="27" t="str">
        <x:v>Унаги соус</x:v>
      </x:c>
      <x:c r="E127" s="26" t="str">
        <x:v>411</x:v>
      </x:c>
      <x:c r="F127" s="26" t="str">
        <x:v>кг</x:v>
      </x:c>
      <x:c r="G127" s="26" t="str">
        <x:v>Товар</x:v>
      </x:c>
      <x:c r="H127" s="29" t="n">
        <x:v>95</x:v>
      </x:c>
      <x:c r="I127" s="28" t="str">
        <x:v>Точное</x:v>
      </x:c>
      <x:c r="J127" s="27" t="str"/>
      <x:c r="K127" s="30" t="str">
        <x:v>cb4ed412-ef0b-49c6-ad99-de69553b3238</x:v>
      </x:c>
    </x:row>
    <x:row r="128" ht="15" hidden="0" customHeight="1">
      <x:c r="A128" s="26" t="str">
        <x:v>10</x:v>
      </x:c>
      <x:c r="B128" s="27" t="str">
        <x:v>Суши-бар-отдача — холодильный стол №6</x:v>
      </x:c>
      <x:c r="C128" s="27" t="str">
        <x:v>Фритюрный жир (товар)</x:v>
      </x:c>
      <x:c r="D128" s="27" t="str">
        <x:v>Фритюрный жир</x:v>
      </x:c>
      <x:c r="E128" s="26" t="str">
        <x:v>350</x:v>
      </x:c>
      <x:c r="F128" s="26" t="str">
        <x:v>л</x:v>
      </x:c>
      <x:c r="G128" s="26" t="str">
        <x:v>Товар</x:v>
      </x:c>
      <x:c r="H128" s="29" t="n">
        <x:v>100</x:v>
      </x:c>
      <x:c r="I128" s="28" t="str">
        <x:v>Точное</x:v>
      </x:c>
      <x:c r="J128" s="27" t="str"/>
      <x:c r="K128" s="30" t="str">
        <x:v>7d1584ae-772a-4c9f-8af5-b8d3175ef6c5</x:v>
      </x:c>
    </x:row>
    <x:row r="129" ht="15" hidden="0" customHeight="1">
      <x:c r="A129" s="26" t="str">
        <x:v>10</x:v>
      </x:c>
      <x:c r="B129" s="27" t="str">
        <x:v>Суши-бар-отдача — холодильный стол №6</x:v>
      </x:c>
      <x:c r="C129" s="27" t="str">
        <x:v>Чеснок сухой (товар)</x:v>
      </x:c>
      <x:c r="D129" s="27" t="str">
        <x:v>Чеснок сушеный</x:v>
      </x:c>
      <x:c r="E129" s="26" t="str">
        <x:v>311</x:v>
      </x:c>
      <x:c r="F129" s="26" t="str">
        <x:v>кг</x:v>
      </x:c>
      <x:c r="G129" s="26" t="str">
        <x:v>Товар</x:v>
      </x:c>
      <x:c r="H129" s="29" t="n">
        <x:v>95</x:v>
      </x:c>
      <x:c r="I129" s="28" t="str">
        <x:v>Точное</x:v>
      </x:c>
      <x:c r="J129" s="27" t="str"/>
      <x:c r="K129" s="30" t="str">
        <x:v>2488405a-e71e-4a84-971c-1bc752c89640</x:v>
      </x:c>
    </x:row>
    <x:row r="130" ht="15" hidden="0" customHeight="1">
      <x:c r="A130" s="26" t="str">
        <x:v>10</x:v>
      </x:c>
      <x:c r="B130" s="27" t="str">
        <x:v>Суши-бар-отдача — холодильный стол №6</x:v>
      </x:c>
      <x:c r="C130" s="27" t="str">
        <x:v>Чёрный угорь п/ф</x:v>
      </x:c>
      <x:c r="D130" s="27" t="str">
        <x:v>НОВЫЙ СОУС черный угорь</x:v>
      </x:c>
      <x:c r="E130" s="26" t="str">
        <x:v>1295</x:v>
      </x:c>
      <x:c r="F130" s="26" t="str">
        <x:v>кг</x:v>
      </x:c>
      <x:c r="G130" s="26" t="str">
        <x:v>Полуфабрикат</x:v>
      </x:c>
      <x:c r="H130" s="29" t="n">
        <x:v>95</x:v>
      </x:c>
      <x:c r="I130" s="28" t="str">
        <x:v>Точное</x:v>
      </x:c>
      <x:c r="J130" s="27" t="str">
        <x:v>В IIKO позиция называется «НОВЫЙ СОУС черный угорь».</x:v>
      </x:c>
      <x:c r="K130" s="30" t="str">
        <x:v>8fde37d8-952e-42b8-85ea-9e8e9f85732f</x:v>
      </x:c>
    </x:row>
    <x:row r="131" ht="15" hidden="0" customHeight="1">
      <x:c r="A131" s="26" t="str">
        <x:v>11</x:v>
      </x:c>
      <x:c r="B131" s="27" t="str">
        <x:v>Суши-бар — холодильный шкаф №4 / стол №3</x:v>
      </x:c>
      <x:c r="C131" s="27" t="str">
        <x:v>Авокадо (товар)</x:v>
      </x:c>
      <x:c r="D131" s="27" t="str">
        <x:v>Авокадо</x:v>
      </x:c>
      <x:c r="E131" s="26" t="str">
        <x:v>661</x:v>
      </x:c>
      <x:c r="F131" s="26" t="str">
        <x:v>кг</x:v>
      </x:c>
      <x:c r="G131" s="26" t="str">
        <x:v>Товар</x:v>
      </x:c>
      <x:c r="H131" s="29" t="n">
        <x:v>100</x:v>
      </x:c>
      <x:c r="I131" s="28" t="str">
        <x:v>Точное</x:v>
      </x:c>
      <x:c r="J131" s="27" t="str"/>
      <x:c r="K131" s="30" t="str">
        <x:v>ac1f0e82-b742-4b97-a16c-96594c41e1ea</x:v>
      </x:c>
    </x:row>
    <x:row r="132" ht="15" hidden="0" customHeight="1">
      <x:c r="A132" s="26" t="str">
        <x:v>11</x:v>
      </x:c>
      <x:c r="B132" s="27" t="str">
        <x:v>Суши-бар — холодильный шкаф №4 / стол №3</x:v>
      </x:c>
      <x:c r="C132" s="27" t="str">
        <x:v>Авокадо п/ф</x:v>
      </x:c>
      <x:c r="D132" s="27" t="str">
        <x:v>Авокадо п.ф.</x:v>
      </x:c>
      <x:c r="E132" s="26" t="str">
        <x:v>662</x:v>
      </x:c>
      <x:c r="F132" s="26" t="str">
        <x:v>кг</x:v>
      </x:c>
      <x:c r="G132" s="26" t="str">
        <x:v>Полуфабрикат</x:v>
      </x:c>
      <x:c r="H132" s="29" t="n">
        <x:v>100</x:v>
      </x:c>
      <x:c r="I132" s="28" t="str">
        <x:v>Точное</x:v>
      </x:c>
      <x:c r="J132" s="27" t="str"/>
      <x:c r="K132" s="30" t="str">
        <x:v>640040d5-61dd-4182-8b63-2bee23dedc9f</x:v>
      </x:c>
    </x:row>
    <x:row r="133" ht="15" hidden="0" customHeight="1">
      <x:c r="A133" s="26" t="str">
        <x:v>11</x:v>
      </x:c>
      <x:c r="B133" s="27" t="str">
        <x:v>Суши-бар — холодильный шкаф №4 / стол №3</x:v>
      </x:c>
      <x:c r="C133" s="27" t="str">
        <x:v>Креветка варёная очищенная п/ф</x:v>
      </x:c>
      <x:c r="D133" s="27" t="str">
        <x:v>Креветка очищ отвар</x:v>
      </x:c>
      <x:c r="E133" s="26" t="str">
        <x:v>980</x:v>
      </x:c>
      <x:c r="F133" s="26" t="str">
        <x:v>кг</x:v>
      </x:c>
      <x:c r="G133" s="26" t="str">
        <x:v>Полуфабрикат</x:v>
      </x:c>
      <x:c r="H133" s="29" t="n">
        <x:v>95</x:v>
      </x:c>
      <x:c r="I133" s="28" t="str">
        <x:v>Точное</x:v>
      </x:c>
      <x:c r="J133" s="27" t="str"/>
      <x:c r="K133" s="30" t="str">
        <x:v>cfc06311-539c-4c41-9d99-21baf376c5de</x:v>
      </x:c>
    </x:row>
    <x:row r="134" ht="15" hidden="0" customHeight="1">
      <x:c r="A134" s="26" t="str">
        <x:v>11</x:v>
      </x:c>
      <x:c r="B134" s="27" t="str">
        <x:v>Суши-бар — холодильный шкаф №4 / стол №3</x:v>
      </x:c>
      <x:c r="C134" s="27" t="str">
        <x:v>Лосось терияки п/ф</x:v>
      </x:c>
      <x:c r="D134" s="27" t="str">
        <x:v>Лосось терияки</x:v>
      </x:c>
      <x:c r="E134" s="26" t="str">
        <x:v>412</x:v>
      </x:c>
      <x:c r="F134" s="26" t="str">
        <x:v>кг</x:v>
      </x:c>
      <x:c r="G134" s="26" t="str">
        <x:v>Полуфабрикат</x:v>
      </x:c>
      <x:c r="H134" s="29" t="n">
        <x:v>100</x:v>
      </x:c>
      <x:c r="I134" s="28" t="str">
        <x:v>Точное</x:v>
      </x:c>
      <x:c r="J134" s="27" t="str"/>
      <x:c r="K134" s="30" t="str">
        <x:v>7f7f7e0a-b131-422b-ab41-63f77812f90b</x:v>
      </x:c>
    </x:row>
    <x:row r="135" ht="15" hidden="0" customHeight="1">
      <x:c r="A135" s="26" t="str">
        <x:v>11</x:v>
      </x:c>
      <x:c r="B135" s="27" t="str">
        <x:v>Суши-бар — холодильный шкаф №4 / стол №3</x:v>
      </x:c>
      <x:c r="C135" s="27" t="str">
        <x:v>Масаго п/ф</x:v>
      </x:c>
      <x:c r="D135" s="27" t="str">
        <x:v>Масаго п/ф</x:v>
      </x:c>
      <x:c r="E135" s="26" t="str">
        <x:v>598</x:v>
      </x:c>
      <x:c r="F135" s="26" t="str">
        <x:v>кг</x:v>
      </x:c>
      <x:c r="G135" s="26" t="str">
        <x:v>Полуфабрикат</x:v>
      </x:c>
      <x:c r="H135" s="29" t="n">
        <x:v>100</x:v>
      </x:c>
      <x:c r="I135" s="28" t="str">
        <x:v>Точное</x:v>
      </x:c>
      <x:c r="J135" s="27" t="str"/>
      <x:c r="K135" s="30" t="str">
        <x:v>901ac275-994e-45a4-8c90-71a3fed3ce43</x:v>
      </x:c>
    </x:row>
    <x:row r="136" ht="15" hidden="0" customHeight="1">
      <x:c r="A136" s="26" t="str">
        <x:v>11</x:v>
      </x:c>
      <x:c r="B136" s="27" t="str">
        <x:v>Суши-бар — холодильный шкаф №4 / стол №3</x:v>
      </x:c>
      <x:c r="C136" s="27" t="str">
        <x:v>Масляная рыба п/ф</x:v>
      </x:c>
      <x:c r="D136" s="27" t="str">
        <x:v>Масляная рыба п/ф</x:v>
      </x:c>
      <x:c r="E136" s="26" t="str">
        <x:v>603</x:v>
      </x:c>
      <x:c r="F136" s="26" t="str">
        <x:v>кг</x:v>
      </x:c>
      <x:c r="G136" s="26" t="str">
        <x:v>Полуфабрикат</x:v>
      </x:c>
      <x:c r="H136" s="29" t="n">
        <x:v>100</x:v>
      </x:c>
      <x:c r="I136" s="28" t="str">
        <x:v>Точное</x:v>
      </x:c>
      <x:c r="J136" s="27" t="str"/>
      <x:c r="K136" s="30" t="str">
        <x:v>8d518cf2-6501-4508-9d9a-6fdfdb28dc9f</x:v>
      </x:c>
    </x:row>
    <x:row r="137" ht="21.600000381469727" hidden="0" customHeight="1">
      <x:c r="A137" s="26" t="str">
        <x:v>11</x:v>
      </x:c>
      <x:c r="B137" s="27" t="str">
        <x:v>Суши-бар — холодильный шкаф №4 / стол №3</x:v>
      </x:c>
      <x:c r="C137" s="27" t="str">
        <x:v>Мидии сырые</x:v>
      </x:c>
      <x:c r="D137" s="27" t="str">
        <x:v>Мидии коктейльные</x:v>
      </x:c>
      <x:c r="E137" s="26" t="str">
        <x:v>402</x:v>
      </x:c>
      <x:c r="F137" s="26" t="str">
        <x:v>кг</x:v>
      </x:c>
      <x:c r="G137" s="26" t="str">
        <x:v>Товар</x:v>
      </x:c>
      <x:c r="H137" s="29" t="n">
        <x:v>55</x:v>
      </x:c>
      <x:c r="I137" s="28" t="str">
        <x:v>Требует проверки</x:v>
      </x:c>
      <x:c r="J137" s="27" t="str">
        <x:v>Предположительно «Мидии коктейльные». Возможная альтернатива — «мидии голубые закрытые» (код 1391).</x:v>
      </x:c>
      <x:c r="K137" s="30" t="str">
        <x:v>5e4eb2ad-b7ef-4fad-940a-d85f0a5c3a4a</x:v>
      </x:c>
    </x:row>
    <x:row r="138" ht="15" hidden="0" customHeight="1">
      <x:c r="A138" s="26" t="str">
        <x:v>11</x:v>
      </x:c>
      <x:c r="B138" s="27" t="str">
        <x:v>Суши-бар — холодильный шкаф №4 / стол №3</x:v>
      </x:c>
      <x:c r="C138" s="27" t="str">
        <x:v>Молоко (товар)</x:v>
      </x:c>
      <x:c r="D138" s="27" t="str">
        <x:v>Молоко</x:v>
      </x:c>
      <x:c r="E138" s="26" t="str">
        <x:v>390</x:v>
      </x:c>
      <x:c r="F138" s="26" t="str">
        <x:v>л</x:v>
      </x:c>
      <x:c r="G138" s="26" t="str">
        <x:v>Товар</x:v>
      </x:c>
      <x:c r="H138" s="29" t="n">
        <x:v>100</x:v>
      </x:c>
      <x:c r="I138" s="28" t="str">
        <x:v>Точное</x:v>
      </x:c>
      <x:c r="J138" s="27" t="str"/>
      <x:c r="K138" s="30" t="str">
        <x:v>d04a0596-fe9b-427a-a632-458f3e4eb155</x:v>
      </x:c>
    </x:row>
    <x:row r="139" ht="15" hidden="0" customHeight="1">
      <x:c r="A139" s="26" t="str">
        <x:v>11</x:v>
      </x:c>
      <x:c r="B139" s="27" t="str">
        <x:v>Суши-бар — холодильный шкаф №4 / стол №3</x:v>
      </x:c>
      <x:c r="C139" s="27" t="str">
        <x:v>Огурцы п/ф</x:v>
      </x:c>
      <x:c r="D139" s="27" t="str">
        <x:v>Огурец п/ф роллы</x:v>
      </x:c>
      <x:c r="E139" s="26" t="str">
        <x:v>601</x:v>
      </x:c>
      <x:c r="F139" s="26" t="str">
        <x:v>кг</x:v>
      </x:c>
      <x:c r="G139" s="26" t="str">
        <x:v>Полуфабрикат</x:v>
      </x:c>
      <x:c r="H139" s="29" t="n">
        <x:v>95</x:v>
      </x:c>
      <x:c r="I139" s="28" t="str">
        <x:v>Точное</x:v>
      </x:c>
      <x:c r="J139" s="27" t="str"/>
      <x:c r="K139" s="30" t="str">
        <x:v>189d8c97-a386-4977-ab8f-d3a5282e356a</x:v>
      </x:c>
    </x:row>
    <x:row r="140" ht="15" hidden="0" customHeight="1">
      <x:c r="A140" s="26" t="str">
        <x:v>11</x:v>
      </x:c>
      <x:c r="B140" s="27" t="str">
        <x:v>Суши-бар — холодильный шкаф №4 / стол №3</x:v>
      </x:c>
      <x:c r="C140" s="27" t="str">
        <x:v>Омлет (Тамаго) п/ф</x:v>
      </x:c>
      <x:c r="D140" s="27" t="str">
        <x:v>Томаго</x:v>
      </x:c>
      <x:c r="E140" s="26" t="str">
        <x:v>392</x:v>
      </x:c>
      <x:c r="F140" s="26" t="str">
        <x:v>кг</x:v>
      </x:c>
      <x:c r="G140" s="26" t="str">
        <x:v>Полуфабрикат</x:v>
      </x:c>
      <x:c r="H140" s="29" t="n">
        <x:v>95</x:v>
      </x:c>
      <x:c r="I140" s="28" t="str">
        <x:v>Точное</x:v>
      </x:c>
      <x:c r="J140" s="27" t="str"/>
      <x:c r="K140" s="30" t="str">
        <x:v>3afb7b3f-7a70-4fda-bf4b-e8ce3d670c44</x:v>
      </x:c>
    </x:row>
    <x:row r="141" ht="15" hidden="0" customHeight="1">
      <x:c r="A141" s="26" t="str">
        <x:v>11</x:v>
      </x:c>
      <x:c r="B141" s="27" t="str">
        <x:v>Суши-бар — холодильный шкаф №4 / стол №3</x:v>
      </x:c>
      <x:c r="C141" s="27" t="str">
        <x:v>Помидор п/ф</x:v>
      </x:c>
      <x:c r="D141" s="27" t="str">
        <x:v>Помидор п/ф</x:v>
      </x:c>
      <x:c r="E141" s="26" t="str">
        <x:v>1106</x:v>
      </x:c>
      <x:c r="F141" s="26" t="str">
        <x:v>кг</x:v>
      </x:c>
      <x:c r="G141" s="26" t="str">
        <x:v>Полуфабрикат</x:v>
      </x:c>
      <x:c r="H141" s="29" t="n">
        <x:v>100</x:v>
      </x:c>
      <x:c r="I141" s="28" t="str">
        <x:v>Точное</x:v>
      </x:c>
      <x:c r="J141" s="27" t="str"/>
      <x:c r="K141" s="30" t="str">
        <x:v>2d88fd7a-a498-46db-8d8b-ce141250c71a</x:v>
      </x:c>
    </x:row>
    <x:row r="142" ht="15" hidden="0" customHeight="1">
      <x:c r="A142" s="26" t="str">
        <x:v>11</x:v>
      </x:c>
      <x:c r="B142" s="27" t="str">
        <x:v>Суши-бар — холодильный шкаф №4 / стол №3</x:v>
      </x:c>
      <x:c r="C142" s="27" t="str">
        <x:v>Снежный краб п/ф</x:v>
      </x:c>
      <x:c r="D142" s="27" t="str">
        <x:v>Снежный краб полуфабрикат</x:v>
      </x:c>
      <x:c r="E142" s="26" t="str">
        <x:v>482</x:v>
      </x:c>
      <x:c r="F142" s="26" t="str">
        <x:v>кг</x:v>
      </x:c>
      <x:c r="G142" s="26" t="str">
        <x:v>Полуфабрикат</x:v>
      </x:c>
      <x:c r="H142" s="29" t="n">
        <x:v>100</x:v>
      </x:c>
      <x:c r="I142" s="28" t="str">
        <x:v>Точное</x:v>
      </x:c>
      <x:c r="J142" s="27" t="str"/>
      <x:c r="K142" s="30" t="str">
        <x:v>9d5cfeae-8717-4f4e-903d-6877561bb32c</x:v>
      </x:c>
    </x:row>
    <x:row r="143" ht="15" hidden="0" customHeight="1">
      <x:c r="A143" s="26" t="str">
        <x:v>11</x:v>
      </x:c>
      <x:c r="B143" s="27" t="str">
        <x:v>Суши-бар — холодильный шкаф №4 / стол №3</x:v>
      </x:c>
      <x:c r="C143" s="27" t="str">
        <x:v>Сёмга с/м п/ф</x:v>
      </x:c>
      <x:c r="D143" s="27" t="str">
        <x:v>Семга с/м п/ф</x:v>
      </x:c>
      <x:c r="E143" s="26" t="str">
        <x:v>599</x:v>
      </x:c>
      <x:c r="F143" s="26" t="str">
        <x:v>кг</x:v>
      </x:c>
      <x:c r="G143" s="26" t="str">
        <x:v>Полуфабрикат</x:v>
      </x:c>
      <x:c r="H143" s="29" t="n">
        <x:v>100</x:v>
      </x:c>
      <x:c r="I143" s="28" t="str">
        <x:v>Точное</x:v>
      </x:c>
      <x:c r="J143" s="27" t="str"/>
      <x:c r="K143" s="30" t="str">
        <x:v>2b9465ac-eab7-4b7c-aa14-548253b02024</x:v>
      </x:c>
    </x:row>
    <x:row r="144" ht="15" hidden="0" customHeight="1">
      <x:c r="A144" s="26" t="str">
        <x:v>11</x:v>
      </x:c>
      <x:c r="B144" s="27" t="str">
        <x:v>Суши-бар — холодильный шкаф №4 / стол №3</x:v>
      </x:c>
      <x:c r="C144" s="27" t="str">
        <x:v>Сёмга х/к п/ф</x:v>
      </x:c>
      <x:c r="D144" s="27" t="str">
        <x:v>Семга х/к п/ф</x:v>
      </x:c>
      <x:c r="E144" s="26" t="str">
        <x:v>600</x:v>
      </x:c>
      <x:c r="F144" s="26" t="str">
        <x:v>кг</x:v>
      </x:c>
      <x:c r="G144" s="26" t="str">
        <x:v>Полуфабрикат</x:v>
      </x:c>
      <x:c r="H144" s="29" t="n">
        <x:v>100</x:v>
      </x:c>
      <x:c r="I144" s="28" t="str">
        <x:v>Точное</x:v>
      </x:c>
      <x:c r="J144" s="27" t="str"/>
      <x:c r="K144" s="30" t="str">
        <x:v>c6f89aab-a5c7-4c4f-bec7-8c21ab2361de</x:v>
      </x:c>
    </x:row>
    <x:row r="145" ht="15" hidden="0" customHeight="1">
      <x:c r="A145" s="26" t="str">
        <x:v>11</x:v>
      </x:c>
      <x:c r="B145" s="27" t="str">
        <x:v>Суши-бар — холодильный шкаф №4 / стол №3</x:v>
      </x:c>
      <x:c r="C145" s="27" t="str">
        <x:v>Тар-тар лосось п/ф</x:v>
      </x:c>
      <x:c r="D145" s="27" t="str">
        <x:v>Тар-тар Лосось</x:v>
      </x:c>
      <x:c r="E145" s="26" t="str">
        <x:v>1015</x:v>
      </x:c>
      <x:c r="F145" s="26" t="str">
        <x:v>кг</x:v>
      </x:c>
      <x:c r="G145" s="26" t="str">
        <x:v>Полуфабрикат</x:v>
      </x:c>
      <x:c r="H145" s="29" t="n">
        <x:v>100</x:v>
      </x:c>
      <x:c r="I145" s="28" t="str">
        <x:v>Точное</x:v>
      </x:c>
      <x:c r="J145" s="27" t="str"/>
      <x:c r="K145" s="30" t="str">
        <x:v>00e27cd2-8eb4-4f10-a98c-629a45d944b7</x:v>
      </x:c>
    </x:row>
    <x:row r="146" ht="21.600000381469727" hidden="0" customHeight="1">
      <x:c r="A146" s="26" t="str">
        <x:v>11, 13</x:v>
      </x:c>
      <x:c r="B146" s="27" t="str">
        <x:v>Суши-бар — холодильный шкаф №4 / стол №3; Суши-бар — морозильный ларь №4</x:v>
      </x:c>
      <x:c r="C146" s="27" t="str">
        <x:v>Тунец х/к (товар)</x:v>
      </x:c>
      <x:c r="D146" s="27" t="str">
        <x:v>Тунец х/к</x:v>
      </x:c>
      <x:c r="E146" s="26" t="str">
        <x:v>608</x:v>
      </x:c>
      <x:c r="F146" s="26" t="str">
        <x:v>кг</x:v>
      </x:c>
      <x:c r="G146" s="26" t="str">
        <x:v>Товар</x:v>
      </x:c>
      <x:c r="H146" s="29" t="n">
        <x:v>100</x:v>
      </x:c>
      <x:c r="I146" s="28" t="str">
        <x:v>Точное</x:v>
      </x:c>
      <x:c r="J146" s="27" t="str"/>
      <x:c r="K146" s="30" t="str">
        <x:v>a20e781a-d701-489e-8939-ae17c99cb922</x:v>
      </x:c>
    </x:row>
    <x:row r="147" ht="15" hidden="0" customHeight="1">
      <x:c r="A147" s="26" t="str">
        <x:v>11</x:v>
      </x:c>
      <x:c r="B147" s="27" t="str">
        <x:v>Суши-бар — холодильный шкаф №4 / стол №3</x:v>
      </x:c>
      <x:c r="C147" s="27" t="str">
        <x:v>Укроп (товар)</x:v>
      </x:c>
      <x:c r="D147" s="27" t="str">
        <x:v>Зелень</x:v>
      </x:c>
      <x:c r="E147" s="26" t="str">
        <x:v>385</x:v>
      </x:c>
      <x:c r="F147" s="26" t="str">
        <x:v>кг</x:v>
      </x:c>
      <x:c r="G147" s="26" t="str">
        <x:v>Товар</x:v>
      </x:c>
      <x:c r="H147" s="29" t="n">
        <x:v>55</x:v>
      </x:c>
      <x:c r="I147" s="28" t="str">
        <x:v>Требует проверки</x:v>
      </x:c>
      <x:c r="J147" s="27" t="str">
        <x:v>В IIKO нет отдельного «Укропа»; выбран общий товар «Зелень».</x:v>
      </x:c>
      <x:c r="K147" s="30" t="str">
        <x:v>3f70bc2a-7f66-43a1-a3e2-4ea10294b51e</x:v>
      </x:c>
    </x:row>
    <x:row r="148" ht="15" hidden="0" customHeight="1">
      <x:c r="A148" s="26" t="str">
        <x:v>11</x:v>
      </x:c>
      <x:c r="B148" s="27" t="str">
        <x:v>Суши-бар — холодильный шкаф №4 / стол №3</x:v>
      </x:c>
      <x:c r="C148" s="27" t="str">
        <x:v>Эби-фрай (креветка в кляре) п/ф</x:v>
      </x:c>
      <x:c r="D148" s="27" t="str">
        <x:v>Креветка в кляре</x:v>
      </x:c>
      <x:c r="E148" s="26" t="str">
        <x:v>410</x:v>
      </x:c>
      <x:c r="F148" s="26" t="str">
        <x:v>кг</x:v>
      </x:c>
      <x:c r="G148" s="26" t="str">
        <x:v>Полуфабрикат</x:v>
      </x:c>
      <x:c r="H148" s="29" t="n">
        <x:v>100</x:v>
      </x:c>
      <x:c r="I148" s="28" t="str">
        <x:v>Точное</x:v>
      </x:c>
      <x:c r="J148" s="27" t="str"/>
      <x:c r="K148" s="30" t="str">
        <x:v>25a260e6-cb32-486d-8147-1ed91a9ed7c5</x:v>
      </x:c>
    </x:row>
    <x:row r="149" ht="15" hidden="0" customHeight="1">
      <x:c r="A149" s="26" t="str">
        <x:v>12</x:v>
      </x:c>
      <x:c r="B149" s="27" t="str">
        <x:v>Суши-бар — холодильный шкаф №4 / стол №3</x:v>
      </x:c>
      <x:c r="C149" s="27" t="str">
        <x:v>Базилик сухой (товар)</x:v>
      </x:c>
      <x:c r="D149" s="27" t="str">
        <x:v>Приправа базилик</x:v>
      </x:c>
      <x:c r="E149" s="26" t="str">
        <x:v>429</x:v>
      </x:c>
      <x:c r="F149" s="26" t="str">
        <x:v>кг</x:v>
      </x:c>
      <x:c r="G149" s="26" t="str">
        <x:v>Товар</x:v>
      </x:c>
      <x:c r="H149" s="29" t="n">
        <x:v>90</x:v>
      </x:c>
      <x:c r="I149" s="28" t="str">
        <x:v>По смыслу</x:v>
      </x:c>
      <x:c r="J149" s="27" t="str"/>
      <x:c r="K149" s="30" t="str">
        <x:v>0b6db6c4-d4ac-4a7e-8881-8d5fcafa320b</x:v>
      </x:c>
    </x:row>
    <x:row r="150" ht="15" hidden="0" customHeight="1">
      <x:c r="A150" s="26" t="str">
        <x:v>12</x:v>
      </x:c>
      <x:c r="B150" s="27" t="str">
        <x:v>Суши-бар — холодильный шкаф №4 / стол №3</x:v>
      </x:c>
      <x:c r="C150" s="27" t="str">
        <x:v>Мидии жареные п/ф</x:v>
      </x:c>
      <x:c r="D150" s="27" t="str">
        <x:v>Мидии жареные п.ф.</x:v>
      </x:c>
      <x:c r="E150" s="26" t="str">
        <x:v>640</x:v>
      </x:c>
      <x:c r="F150" s="26" t="str">
        <x:v>кг</x:v>
      </x:c>
      <x:c r="G150" s="26" t="str">
        <x:v>Полуфабрикат</x:v>
      </x:c>
      <x:c r="H150" s="29" t="n">
        <x:v>100</x:v>
      </x:c>
      <x:c r="I150" s="28" t="str">
        <x:v>Точное</x:v>
      </x:c>
      <x:c r="J150" s="27" t="str"/>
      <x:c r="K150" s="30" t="str">
        <x:v>157fb59d-e4bc-423f-805b-2b987cb73f72</x:v>
      </x:c>
    </x:row>
    <x:row r="151" ht="21.600000381469727" hidden="0" customHeight="1">
      <x:c r="A151" s="26" t="str">
        <x:v>12, 15</x:v>
      </x:c>
      <x:c r="B151" s="27" t="str">
        <x:v>Суши-бар — холодильный шкаф №4 / стол №3; Сухой склад</x:v>
      </x:c>
      <x:c r="C151" s="27" t="str">
        <x:v>Нори (товар)</x:v>
      </x:c>
      <x:c r="D151" s="27" t="str">
        <x:v>Нори</x:v>
      </x:c>
      <x:c r="E151" s="26" t="str">
        <x:v>326</x:v>
      </x:c>
      <x:c r="F151" s="26" t="str">
        <x:v>шт</x:v>
      </x:c>
      <x:c r="G151" s="26" t="str">
        <x:v>Товар</x:v>
      </x:c>
      <x:c r="H151" s="29" t="n">
        <x:v>100</x:v>
      </x:c>
      <x:c r="I151" s="28" t="str">
        <x:v>Точное</x:v>
      </x:c>
      <x:c r="J151" s="27" t="str"/>
      <x:c r="K151" s="30" t="str">
        <x:v>402101dc-2501-4341-9c13-d020a38702ab</x:v>
      </x:c>
    </x:row>
    <x:row r="152" ht="21.600000381469727" hidden="0" customHeight="1">
      <x:c r="A152" s="26" t="str">
        <x:v>12, 17</x:v>
      </x:c>
      <x:c r="B152" s="27" t="str">
        <x:v>Суши-бар — холодильный шкаф №4 / стол №3; Заготовочный цех</x:v>
      </x:c>
      <x:c r="C152" s="27" t="str">
        <x:v>Рис варёный п/ф</x:v>
      </x:c>
      <x:c r="D152" s="27" t="str">
        <x:v>Рис для роллов пф</x:v>
      </x:c>
      <x:c r="E152" s="26" t="str">
        <x:v>409</x:v>
      </x:c>
      <x:c r="F152" s="26" t="str">
        <x:v>кг</x:v>
      </x:c>
      <x:c r="G152" s="26" t="str">
        <x:v>Полуфабрикат</x:v>
      </x:c>
      <x:c r="H152" s="29" t="n">
        <x:v>95</x:v>
      </x:c>
      <x:c r="I152" s="28" t="str">
        <x:v>Точное</x:v>
      </x:c>
      <x:c r="J152" s="27" t="str"/>
      <x:c r="K152" s="30" t="str">
        <x:v>0cfbf0d5-7236-47bb-9ac2-047b770e55bb</x:v>
      </x:c>
    </x:row>
    <x:row r="153" ht="21.600000381469727" hidden="0" customHeight="1">
      <x:c r="A153" s="26" t="str">
        <x:v>12, 15</x:v>
      </x:c>
      <x:c r="B153" s="27" t="str">
        <x:v>Суши-бар — холодильный шкаф №4 / стол №3; Сухой склад</x:v>
      </x:c>
      <x:c r="C153" s="27" t="str">
        <x:v>Соус Унаги (товар)</x:v>
      </x:c>
      <x:c r="D153" s="27" t="str">
        <x:v>Унаги соус</x:v>
      </x:c>
      <x:c r="E153" s="26" t="str">
        <x:v>411</x:v>
      </x:c>
      <x:c r="F153" s="26" t="str">
        <x:v>кг</x:v>
      </x:c>
      <x:c r="G153" s="26" t="str">
        <x:v>Товар</x:v>
      </x:c>
      <x:c r="H153" s="29" t="n">
        <x:v>100</x:v>
      </x:c>
      <x:c r="I153" s="28" t="str">
        <x:v>Точное</x:v>
      </x:c>
      <x:c r="J153" s="27" t="str"/>
      <x:c r="K153" s="30" t="str">
        <x:v>cb4ed412-ef0b-49c6-ad99-de69553b3238</x:v>
      </x:c>
    </x:row>
    <x:row r="154" ht="21.600000381469727" hidden="0" customHeight="1">
      <x:c r="A154" s="26" t="str">
        <x:v>12, 15</x:v>
      </x:c>
      <x:c r="B154" s="27" t="str">
        <x:v>Суши-бар — холодильный шкаф №4 / стол №3; Сухой склад</x:v>
      </x:c>
      <x:c r="C154" s="27" t="str">
        <x:v>Стружка тунца (товар)</x:v>
      </x:c>
      <x:c r="D154" s="27" t="str">
        <x:v>Стружка тунца</x:v>
      </x:c>
      <x:c r="E154" s="26" t="str">
        <x:v>335</x:v>
      </x:c>
      <x:c r="F154" s="26" t="str">
        <x:v>кг</x:v>
      </x:c>
      <x:c r="G154" s="26" t="str">
        <x:v>Товар</x:v>
      </x:c>
      <x:c r="H154" s="29" t="n">
        <x:v>100</x:v>
      </x:c>
      <x:c r="I154" s="28" t="str">
        <x:v>Точное</x:v>
      </x:c>
      <x:c r="J154" s="27" t="str"/>
      <x:c r="K154" s="30" t="str">
        <x:v>c434212b-8b01-40e4-af5c-2d55f4a0a387</x:v>
      </x:c>
    </x:row>
    <x:row r="155" ht="15" hidden="0" customHeight="1">
      <x:c r="A155" s="26" t="str">
        <x:v>12</x:v>
      </x:c>
      <x:c r="B155" s="27" t="str">
        <x:v>Суши-бар — холодильный шкаф №4 / стол №3</x:v>
      </x:c>
      <x:c r="C155" s="27" t="str">
        <x:v>Табаджан (товар)</x:v>
      </x:c>
      <x:c r="D155" s="27" t="str">
        <x:v>Табаджан</x:v>
      </x:c>
      <x:c r="E155" s="26" t="str">
        <x:v>322</x:v>
      </x:c>
      <x:c r="F155" s="26" t="str">
        <x:v>кг</x:v>
      </x:c>
      <x:c r="G155" s="26" t="str">
        <x:v>Товар</x:v>
      </x:c>
      <x:c r="H155" s="29" t="n">
        <x:v>100</x:v>
      </x:c>
      <x:c r="I155" s="28" t="str">
        <x:v>Точное</x:v>
      </x:c>
      <x:c r="J155" s="27" t="str"/>
      <x:c r="K155" s="30" t="str">
        <x:v>6b622a8a-8016-4f39-a69b-19a583dcb066</x:v>
      </x:c>
    </x:row>
    <x:row r="156" ht="15" hidden="0" customHeight="1">
      <x:c r="A156" s="26" t="str">
        <x:v>12</x:v>
      </x:c>
      <x:c r="B156" s="27" t="str">
        <x:v>Суши-бар — холодильный шкаф №4 / стол №3</x:v>
      </x:c>
      <x:c r="C156" s="27" t="str">
        <x:v>Творожный сыр (товар)</x:v>
      </x:c>
      <x:c r="D156" s="27" t="str">
        <x:v>Сыр творожный</x:v>
      </x:c>
      <x:c r="E156" s="26" t="str">
        <x:v>305</x:v>
      </x:c>
      <x:c r="F156" s="26" t="str">
        <x:v>кг</x:v>
      </x:c>
      <x:c r="G156" s="26" t="str">
        <x:v>Товар</x:v>
      </x:c>
      <x:c r="H156" s="29" t="n">
        <x:v>95</x:v>
      </x:c>
      <x:c r="I156" s="28" t="str">
        <x:v>Точное</x:v>
      </x:c>
      <x:c r="J156" s="27" t="str"/>
      <x:c r="K156" s="30" t="str">
        <x:v>961b99af-f9d6-4eb3-a90f-35a61f9b7508</x:v>
      </x:c>
    </x:row>
    <x:row r="157" ht="21.600000381469727" hidden="0" customHeight="1">
      <x:c r="A157" s="26" t="str">
        <x:v>12, 14</x:v>
      </x:c>
      <x:c r="B157" s="27" t="str">
        <x:v>Суши-бар — холодильный шкаф №4 / стол №3; Суши-бар — морозильный ларь №3</x:v>
      </x:c>
      <x:c r="C157" s="27" t="str">
        <x:v>Угорь товар</x:v>
      </x:c>
      <x:c r="D157" s="27" t="str">
        <x:v>Угорь</x:v>
      </x:c>
      <x:c r="E157" s="26" t="str">
        <x:v>345</x:v>
      </x:c>
      <x:c r="F157" s="26" t="str">
        <x:v>кг</x:v>
      </x:c>
      <x:c r="G157" s="26" t="str">
        <x:v>Товар</x:v>
      </x:c>
      <x:c r="H157" s="29" t="n">
        <x:v>100</x:v>
      </x:c>
      <x:c r="I157" s="28" t="str">
        <x:v>Точное</x:v>
      </x:c>
      <x:c r="J157" s="27" t="str"/>
      <x:c r="K157" s="30" t="str">
        <x:v>c37017cf-27f9-401d-a3a0-0f4b68f9527e</x:v>
      </x:c>
    </x:row>
    <x:row r="158" ht="21.600000381469727" hidden="0" customHeight="1">
      <x:c r="A158" s="26" t="str">
        <x:v>12, 15</x:v>
      </x:c>
      <x:c r="B158" s="27" t="str">
        <x:v>Суши-бар — холодильный шкаф №4 / стол №3; Сухой склад</x:v>
      </x:c>
      <x:c r="C158" s="27" t="str">
        <x:v>Хондаши (товар)</x:v>
      </x:c>
      <x:c r="D158" s="27" t="str">
        <x:v>Хондаши</x:v>
      </x:c>
      <x:c r="E158" s="26" t="str">
        <x:v>391</x:v>
      </x:c>
      <x:c r="F158" s="26" t="str">
        <x:v>кг</x:v>
      </x:c>
      <x:c r="G158" s="26" t="str">
        <x:v>Товар</x:v>
      </x:c>
      <x:c r="H158" s="29" t="n">
        <x:v>100</x:v>
      </x:c>
      <x:c r="I158" s="28" t="str">
        <x:v>Точное</x:v>
      </x:c>
      <x:c r="J158" s="27" t="str"/>
      <x:c r="K158" s="30" t="str">
        <x:v>aaacbfba-dcdb-4a33-bbf0-f4b40c005395</x:v>
      </x:c>
    </x:row>
    <x:row r="159" ht="15" hidden="0" customHeight="1">
      <x:c r="A159" s="26" t="str">
        <x:v>13</x:v>
      </x:c>
      <x:c r="B159" s="27" t="str">
        <x:v>Суши-бар — морозильный ларь №4</x:v>
      </x:c>
      <x:c r="C159" s="27" t="str">
        <x:v>Креветка блок 1,8 кг (товар)</x:v>
      </x:c>
      <x:c r="D159" s="27" t="str">
        <x:v>Креветка 21-25</x:v>
      </x:c>
      <x:c r="E159" s="26" t="str">
        <x:v>297</x:v>
      </x:c>
      <x:c r="F159" s="26" t="str">
        <x:v>кг</x:v>
      </x:c>
      <x:c r="G159" s="26" t="str">
        <x:v>Товар</x:v>
      </x:c>
      <x:c r="H159" s="29" t="n">
        <x:v>80</x:v>
      </x:c>
      <x:c r="I159" s="28" t="str">
        <x:v>По смыслу</x:v>
      </x:c>
      <x:c r="J159" s="27" t="str">
        <x:v>Сопоставлено с сырьём «Креветка 21-25»; фасовка 1,8 кг в IIKO не указана.</x:v>
      </x:c>
      <x:c r="K159" s="30" t="str">
        <x:v>d3a1f4a3-1198-45cb-9190-1263a3c76562</x:v>
      </x:c>
    </x:row>
    <x:row r="160" ht="15" hidden="0" customHeight="1">
      <x:c r="A160" s="26" t="str">
        <x:v>13</x:v>
      </x:c>
      <x:c r="B160" s="27" t="str">
        <x:v>Суши-бар — морозильный ларь №4</x:v>
      </x:c>
      <x:c r="C160" s="27" t="str">
        <x:v>Масаго (товар)</x:v>
      </x:c>
      <x:c r="D160" s="27" t="str">
        <x:v>Масаго</x:v>
      </x:c>
      <x:c r="E160" s="26" t="str">
        <x:v>327</x:v>
      </x:c>
      <x:c r="F160" s="26" t="str">
        <x:v>кг</x:v>
      </x:c>
      <x:c r="G160" s="26" t="str">
        <x:v>Товар</x:v>
      </x:c>
      <x:c r="H160" s="29" t="n">
        <x:v>100</x:v>
      </x:c>
      <x:c r="I160" s="28" t="str">
        <x:v>Точное</x:v>
      </x:c>
      <x:c r="J160" s="27" t="str"/>
      <x:c r="K160" s="30" t="str">
        <x:v>b0dc3cc4-9382-40ee-93f3-6af15d56d8b7</x:v>
      </x:c>
    </x:row>
    <x:row r="161" ht="15" hidden="0" customHeight="1">
      <x:c r="A161" s="26" t="str">
        <x:v>13</x:v>
      </x:c>
      <x:c r="B161" s="27" t="str">
        <x:v>Суши-бар — морозильный ларь №4</x:v>
      </x:c>
      <x:c r="C161" s="27" t="str">
        <x:v>Масляная рыба тушка (товар)</x:v>
      </x:c>
      <x:c r="D161" s="27" t="str">
        <x:v>Масляная рыба</x:v>
      </x:c>
      <x:c r="E161" s="26" t="str">
        <x:v>523</x:v>
      </x:c>
      <x:c r="F161" s="26" t="str">
        <x:v>кг</x:v>
      </x:c>
      <x:c r="G161" s="26" t="str">
        <x:v>Товар</x:v>
      </x:c>
      <x:c r="H161" s="29" t="n">
        <x:v>95</x:v>
      </x:c>
      <x:c r="I161" s="28" t="str">
        <x:v>Точное</x:v>
      </x:c>
      <x:c r="J161" s="27" t="str"/>
      <x:c r="K161" s="30" t="str">
        <x:v>3c12bbe9-5264-4c49-9be0-8536b4dd02e1</x:v>
      </x:c>
    </x:row>
    <x:row r="162" ht="15" hidden="0" customHeight="1">
      <x:c r="A162" s="26" t="str">
        <x:v>13</x:v>
      </x:c>
      <x:c r="B162" s="27" t="str">
        <x:v>Суши-бар — морозильный ларь №4</x:v>
      </x:c>
      <x:c r="C162" s="27" t="str">
        <x:v>Сёмга с/м тушка, стейки (товар)</x:v>
      </x:c>
      <x:c r="D162" s="27" t="str">
        <x:v>Семга с/м</x:v>
      </x:c>
      <x:c r="E162" s="26" t="str">
        <x:v>323</x:v>
      </x:c>
      <x:c r="F162" s="26" t="str">
        <x:v>кг</x:v>
      </x:c>
      <x:c r="G162" s="26" t="str">
        <x:v>Товар</x:v>
      </x:c>
      <x:c r="H162" s="29" t="n">
        <x:v>95</x:v>
      </x:c>
      <x:c r="I162" s="28" t="str">
        <x:v>Точное</x:v>
      </x:c>
      <x:c r="J162" s="27" t="str"/>
      <x:c r="K162" s="30" t="str">
        <x:v>6ed804ae-8fc2-45ff-bb0b-30ca757fa336</x:v>
      </x:c>
    </x:row>
    <x:row r="163" ht="15" hidden="0" customHeight="1">
      <x:c r="A163" s="26" t="str">
        <x:v>13</x:v>
      </x:c>
      <x:c r="B163" s="27" t="str">
        <x:v>Суши-бар — морозильный ларь №4</x:v>
      </x:c>
      <x:c r="C163" s="27" t="str">
        <x:v>Сёмга х/к тушка, стейки (товар)</x:v>
      </x:c>
      <x:c r="D163" s="27" t="str">
        <x:v>Семга х/к</x:v>
      </x:c>
      <x:c r="E163" s="26" t="str">
        <x:v>405</x:v>
      </x:c>
      <x:c r="F163" s="26" t="str">
        <x:v>кг</x:v>
      </x:c>
      <x:c r="G163" s="26" t="str">
        <x:v>Товар</x:v>
      </x:c>
      <x:c r="H163" s="29" t="n">
        <x:v>95</x:v>
      </x:c>
      <x:c r="I163" s="28" t="str">
        <x:v>Точное</x:v>
      </x:c>
      <x:c r="J163" s="27" t="str"/>
      <x:c r="K163" s="30" t="str">
        <x:v>7649c438-0072-4345-bc8d-3e12f01d15df</x:v>
      </x:c>
    </x:row>
    <x:row r="164" ht="15" hidden="0" customHeight="1">
      <x:c r="A164" s="26" t="str">
        <x:v>13</x:v>
      </x:c>
      <x:c r="B164" s="27" t="str">
        <x:v>Суши-бар — морозильный ларь №4</x:v>
      </x:c>
      <x:c r="C164" s="27" t="str">
        <x:v>Тилапия сырая (товар)</x:v>
      </x:c>
      <x:c r="D164" s="27" t="str">
        <x:v>Тилапия</x:v>
      </x:c>
      <x:c r="E164" s="26" t="str">
        <x:v>638</x:v>
      </x:c>
      <x:c r="F164" s="26" t="str">
        <x:v>кг</x:v>
      </x:c>
      <x:c r="G164" s="26" t="str">
        <x:v>Товар</x:v>
      </x:c>
      <x:c r="H164" s="29" t="n">
        <x:v>95</x:v>
      </x:c>
      <x:c r="I164" s="28" t="str">
        <x:v>Точное</x:v>
      </x:c>
      <x:c r="J164" s="27" t="str"/>
      <x:c r="K164" s="30" t="str">
        <x:v>c3484460-18b8-418a-9274-1dd6b85a9391</x:v>
      </x:c>
    </x:row>
    <x:row r="165" ht="15" hidden="0" customHeight="1">
      <x:c r="A165" s="26" t="str">
        <x:v>13</x:v>
      </x:c>
      <x:c r="B165" s="27" t="str">
        <x:v>Суши-бар — морозильный ларь №4</x:v>
      </x:c>
      <x:c r="C165" s="27" t="str">
        <x:v>Угорь тушка (товар)</x:v>
      </x:c>
      <x:c r="D165" s="27" t="str">
        <x:v>Угорь</x:v>
      </x:c>
      <x:c r="E165" s="26" t="str">
        <x:v>345</x:v>
      </x:c>
      <x:c r="F165" s="26" t="str">
        <x:v>кг</x:v>
      </x:c>
      <x:c r="G165" s="26" t="str">
        <x:v>Товар</x:v>
      </x:c>
      <x:c r="H165" s="29" t="n">
        <x:v>90</x:v>
      </x:c>
      <x:c r="I165" s="28" t="str">
        <x:v>По смыслу</x:v>
      </x:c>
      <x:c r="J165" s="27" t="str"/>
      <x:c r="K165" s="30" t="str">
        <x:v>c37017cf-27f9-401d-a3a0-0f4b68f9527e</x:v>
      </x:c>
    </x:row>
    <x:row r="166" ht="21.600000381469727" hidden="0" customHeight="1">
      <x:c r="A166" s="26" t="str">
        <x:v>13, 14</x:v>
      </x:c>
      <x:c r="B166" s="27" t="str">
        <x:v>Суши-бар — морозильный ларь №4; Суши-бар — морозильный ларь №3</x:v>
      </x:c>
      <x:c r="C166" s="27" t="str">
        <x:v>Чука (товар)</x:v>
      </x:c>
      <x:c r="D166" s="27" t="str">
        <x:v>Чука</x:v>
      </x:c>
      <x:c r="E166" s="26" t="str">
        <x:v>334</x:v>
      </x:c>
      <x:c r="F166" s="26" t="str">
        <x:v>кг</x:v>
      </x:c>
      <x:c r="G166" s="26" t="str">
        <x:v>Товар</x:v>
      </x:c>
      <x:c r="H166" s="29" t="n">
        <x:v>100</x:v>
      </x:c>
      <x:c r="I166" s="28" t="str">
        <x:v>Точное</x:v>
      </x:c>
      <x:c r="J166" s="27" t="str"/>
      <x:c r="K166" s="30" t="str">
        <x:v>7c55f24d-f374-4ee3-aea5-db06065bd930</x:v>
      </x:c>
    </x:row>
    <x:row r="167" ht="15" hidden="0" customHeight="1">
      <x:c r="A167" s="26" t="str">
        <x:v>14</x:v>
      </x:c>
      <x:c r="B167" s="27" t="str">
        <x:v>Суши-бар — морозильный ларь №3</x:v>
      </x:c>
      <x:c r="C167" s="27" t="str">
        <x:v>Краб снежный Santa Bremor (товар)</x:v>
      </x:c>
      <x:c r="D167" s="27" t="str">
        <x:v>Снежный краб имитация</x:v>
      </x:c>
      <x:c r="E167" s="26" t="str">
        <x:v>332</x:v>
      </x:c>
      <x:c r="F167" s="26" t="str">
        <x:v>кг</x:v>
      </x:c>
      <x:c r="G167" s="26" t="str">
        <x:v>Товар</x:v>
      </x:c>
      <x:c r="H167" s="29" t="n">
        <x:v>85</x:v>
      </x:c>
      <x:c r="I167" s="28" t="str">
        <x:v>По смыслу</x:v>
      </x:c>
      <x:c r="J167" s="27" t="str">
        <x:v>Сопоставлено с товаром «Снежный краб имитация».</x:v>
      </x:c>
      <x:c r="K167" s="30" t="str">
        <x:v>787da6df-9d4c-4fb5-a8b9-546044c15481</x:v>
      </x:c>
    </x:row>
    <x:row r="168" ht="15" hidden="0" customHeight="1">
      <x:c r="A168" s="26" t="str">
        <x:v>14</x:v>
      </x:c>
      <x:c r="B168" s="27" t="str">
        <x:v>Суши-бар — морозильный ларь №3</x:v>
      </x:c>
      <x:c r="C168" s="27" t="str">
        <x:v>Креветка варёная вакуум п/ф</x:v>
      </x:c>
      <x:c r="D168" s="27" t="str">
        <x:v>Креветка очищ отвар</x:v>
      </x:c>
      <x:c r="E168" s="26" t="str">
        <x:v>980</x:v>
      </x:c>
      <x:c r="F168" s="26" t="str">
        <x:v>кг</x:v>
      </x:c>
      <x:c r="G168" s="26" t="str">
        <x:v>Полуфабрикат</x:v>
      </x:c>
      <x:c r="H168" s="29" t="n">
        <x:v>90</x:v>
      </x:c>
      <x:c r="I168" s="28" t="str">
        <x:v>По смыслу</x:v>
      </x:c>
      <x:c r="J168" s="27" t="str"/>
      <x:c r="K168" s="30" t="str">
        <x:v>cfc06311-539c-4c41-9d99-21baf376c5de</x:v>
      </x:c>
    </x:row>
    <x:row r="169" ht="15" hidden="0" customHeight="1">
      <x:c r="A169" s="26" t="str">
        <x:v>14</x:v>
      </x:c>
      <x:c r="B169" s="27" t="str">
        <x:v>Суши-бар — морозильный ларь №3</x:v>
      </x:c>
      <x:c r="C169" s="27" t="str">
        <x:v>Креветка чищенная на пиццу п/ф</x:v>
      </x:c>
      <x:c r="D169" s="27" t="str">
        <x:v>креветки чищ (сырые на пиццу)</x:v>
      </x:c>
      <x:c r="E169" s="26" t="str">
        <x:v>1164</x:v>
      </x:c>
      <x:c r="F169" s="26" t="str">
        <x:v>кг</x:v>
      </x:c>
      <x:c r="G169" s="26" t="str">
        <x:v>Полуфабрикат</x:v>
      </x:c>
      <x:c r="H169" s="29" t="n">
        <x:v>95</x:v>
      </x:c>
      <x:c r="I169" s="28" t="str">
        <x:v>Точное</x:v>
      </x:c>
      <x:c r="J169" s="27" t="str"/>
      <x:c r="K169" s="30" t="str">
        <x:v>5f1efc83-ff4d-445c-bb16-88681fcb3fb5</x:v>
      </x:c>
    </x:row>
    <x:row r="170" ht="15" hidden="0" customHeight="1">
      <x:c r="A170" s="26" t="str">
        <x:v>14</x:v>
      </x:c>
      <x:c r="B170" s="27" t="str">
        <x:v>Суши-бар — морозильный ларь №3</x:v>
      </x:c>
      <x:c r="C170" s="27" t="str">
        <x:v>Курица копчёная вакуум п/ф</x:v>
      </x:c>
      <x:c r="D170" s="27" t="str">
        <x:v>Курица копченая п/ф</x:v>
      </x:c>
      <x:c r="E170" s="26" t="str">
        <x:v>596</x:v>
      </x:c>
      <x:c r="F170" s="26" t="str">
        <x:v>кг</x:v>
      </x:c>
      <x:c r="G170" s="26" t="str">
        <x:v>Полуфабрикат</x:v>
      </x:c>
      <x:c r="H170" s="29" t="n">
        <x:v>95</x:v>
      </x:c>
      <x:c r="I170" s="28" t="str">
        <x:v>Точное</x:v>
      </x:c>
      <x:c r="J170" s="27" t="str"/>
      <x:c r="K170" s="30" t="str">
        <x:v>f20c377d-a9f8-422e-b382-55a106207ee6</x:v>
      </x:c>
    </x:row>
    <x:row r="171" ht="15" hidden="0" customHeight="1">
      <x:c r="A171" s="26" t="str">
        <x:v>14</x:v>
      </x:c>
      <x:c r="B171" s="27" t="str">
        <x:v>Суши-бар — морозильный ларь №3</x:v>
      </x:c>
      <x:c r="C171" s="27" t="str">
        <x:v>Лосось терияки вакуум п/ф</x:v>
      </x:c>
      <x:c r="D171" s="27" t="str">
        <x:v>Лосось терияки</x:v>
      </x:c>
      <x:c r="E171" s="26" t="str">
        <x:v>412</x:v>
      </x:c>
      <x:c r="F171" s="26" t="str">
        <x:v>кг</x:v>
      </x:c>
      <x:c r="G171" s="26" t="str">
        <x:v>Полуфабрикат</x:v>
      </x:c>
      <x:c r="H171" s="29" t="n">
        <x:v>95</x:v>
      </x:c>
      <x:c r="I171" s="28" t="str">
        <x:v>Точное</x:v>
      </x:c>
      <x:c r="J171" s="27" t="str"/>
      <x:c r="K171" s="30" t="str">
        <x:v>7f7f7e0a-b131-422b-ab41-63f77812f90b</x:v>
      </x:c>
    </x:row>
    <x:row r="172" ht="15" hidden="0" customHeight="1">
      <x:c r="A172" s="26" t="str">
        <x:v>14</x:v>
      </x:c>
      <x:c r="B172" s="27" t="str">
        <x:v>Суши-бар — морозильный ларь №3</x:v>
      </x:c>
      <x:c r="C172" s="27" t="str">
        <x:v>Масляная рыба вакуум п/ф</x:v>
      </x:c>
      <x:c r="D172" s="27" t="str">
        <x:v>Масляная рыба п/ф</x:v>
      </x:c>
      <x:c r="E172" s="26" t="str">
        <x:v>603</x:v>
      </x:c>
      <x:c r="F172" s="26" t="str">
        <x:v>кг</x:v>
      </x:c>
      <x:c r="G172" s="26" t="str">
        <x:v>Полуфабрикат</x:v>
      </x:c>
      <x:c r="H172" s="29" t="n">
        <x:v>95</x:v>
      </x:c>
      <x:c r="I172" s="28" t="str">
        <x:v>Точное</x:v>
      </x:c>
      <x:c r="J172" s="27" t="str"/>
      <x:c r="K172" s="30" t="str">
        <x:v>8d518cf2-6501-4508-9d9a-6fdfdb28dc9f</x:v>
      </x:c>
    </x:row>
    <x:row r="173" ht="15" hidden="0" customHeight="1">
      <x:c r="A173" s="26" t="str">
        <x:v>14</x:v>
      </x:c>
      <x:c r="B173" s="27" t="str">
        <x:v>Суши-бар — морозильный ларь №3</x:v>
      </x:c>
      <x:c r="C173" s="27" t="str">
        <x:v>Мидии жареные вакуум п/ф</x:v>
      </x:c>
      <x:c r="D173" s="27" t="str">
        <x:v>Мидии жареные п.ф.</x:v>
      </x:c>
      <x:c r="E173" s="26" t="str">
        <x:v>640</x:v>
      </x:c>
      <x:c r="F173" s="26" t="str">
        <x:v>кг</x:v>
      </x:c>
      <x:c r="G173" s="26" t="str">
        <x:v>Полуфабрикат</x:v>
      </x:c>
      <x:c r="H173" s="29" t="n">
        <x:v>95</x:v>
      </x:c>
      <x:c r="I173" s="28" t="str">
        <x:v>Точное</x:v>
      </x:c>
      <x:c r="J173" s="27" t="str"/>
      <x:c r="K173" s="30" t="str">
        <x:v>157fb59d-e4bc-423f-805b-2b987cb73f72</x:v>
      </x:c>
    </x:row>
    <x:row r="174" ht="15" hidden="0" customHeight="1">
      <x:c r="A174" s="26" t="str">
        <x:v>14</x:v>
      </x:c>
      <x:c r="B174" s="27" t="str">
        <x:v>Суши-бар — морозильный ларь №3</x:v>
      </x:c>
      <x:c r="C174" s="27" t="str">
        <x:v>Сёмга с/м фарш вакуум п/ф</x:v>
      </x:c>
      <x:c r="D174" s="27" t="str">
        <x:v>Семга с/м п/ф</x:v>
      </x:c>
      <x:c r="E174" s="26" t="str">
        <x:v>599</x:v>
      </x:c>
      <x:c r="F174" s="26" t="str">
        <x:v>кг</x:v>
      </x:c>
      <x:c r="G174" s="26" t="str">
        <x:v>Полуфабрикат</x:v>
      </x:c>
      <x:c r="H174" s="29" t="n">
        <x:v>65</x:v>
      </x:c>
      <x:c r="I174" s="28" t="str">
        <x:v>Требует проверки</x:v>
      </x:c>
      <x:c r="J174" s="27" t="str">
        <x:v>В IIKO найден общий п/ф «Семга с/м п/ф» без признака фарша.</x:v>
      </x:c>
      <x:c r="K174" s="30" t="str">
        <x:v>2b9465ac-eab7-4b7c-aa14-548253b02024</x:v>
      </x:c>
    </x:row>
    <x:row r="175" ht="15" hidden="0" customHeight="1">
      <x:c r="A175" s="26" t="str">
        <x:v>14</x:v>
      </x:c>
      <x:c r="B175" s="27" t="str">
        <x:v>Суши-бар — морозильный ларь №3</x:v>
      </x:c>
      <x:c r="C175" s="27" t="str">
        <x:v>Сёмга х/к вакуум п/ф</x:v>
      </x:c>
      <x:c r="D175" s="27" t="str">
        <x:v>Семга х/к п/ф</x:v>
      </x:c>
      <x:c r="E175" s="26" t="str">
        <x:v>600</x:v>
      </x:c>
      <x:c r="F175" s="26" t="str">
        <x:v>кг</x:v>
      </x:c>
      <x:c r="G175" s="26" t="str">
        <x:v>Полуфабрикат</x:v>
      </x:c>
      <x:c r="H175" s="29" t="n">
        <x:v>95</x:v>
      </x:c>
      <x:c r="I175" s="28" t="str">
        <x:v>Точное</x:v>
      </x:c>
      <x:c r="J175" s="27" t="str"/>
      <x:c r="K175" s="30" t="str">
        <x:v>c6f89aab-a5c7-4c4f-bec7-8c21ab2361de</x:v>
      </x:c>
    </x:row>
    <x:row r="176" ht="15" hidden="0" customHeight="1">
      <x:c r="A176" s="26" t="str">
        <x:v>14</x:v>
      </x:c>
      <x:c r="B176" s="27" t="str">
        <x:v>Суши-бар — морозильный ларь №3</x:v>
      </x:c>
      <x:c r="C176" s="27" t="str">
        <x:v>Тунец</x:v>
      </x:c>
      <x:c r="D176" s="27" t="str">
        <x:v>Тунец</x:v>
      </x:c>
      <x:c r="E176" s="26" t="str">
        <x:v>339</x:v>
      </x:c>
      <x:c r="F176" s="26" t="str">
        <x:v>кг</x:v>
      </x:c>
      <x:c r="G176" s="26" t="str">
        <x:v>Товар</x:v>
      </x:c>
      <x:c r="H176" s="29" t="n">
        <x:v>100</x:v>
      </x:c>
      <x:c r="I176" s="28" t="str">
        <x:v>Точное</x:v>
      </x:c>
      <x:c r="J176" s="27" t="str"/>
      <x:c r="K176" s="30" t="str">
        <x:v>ae8d0a47-ab2f-4049-8f74-8903d6788bbb</x:v>
      </x:c>
    </x:row>
    <x:row r="177" ht="15" hidden="0" customHeight="1">
      <x:c r="A177" s="26" t="str">
        <x:v>14</x:v>
      </x:c>
      <x:c r="B177" s="27" t="str">
        <x:v>Суши-бар — морозильный ларь №3</x:v>
      </x:c>
      <x:c r="C177" s="27" t="str">
        <x:v>Фарш п/ф</x:v>
      </x:c>
      <x:c r="D177" s="27" t="str">
        <x:v>фарш свино-говяжий п/ф</x:v>
      </x:c>
      <x:c r="E177" s="26" t="str">
        <x:v>1239</x:v>
      </x:c>
      <x:c r="F177" s="26" t="str">
        <x:v>кг</x:v>
      </x:c>
      <x:c r="G177" s="26" t="str">
        <x:v>Полуфабрикат</x:v>
      </x:c>
      <x:c r="H177" s="29" t="n">
        <x:v>75</x:v>
      </x:c>
      <x:c r="I177" s="28" t="str">
        <x:v>По смыслу</x:v>
      </x:c>
      <x:c r="J177" s="27" t="str">
        <x:v>По контексту выбран «фарш свино-говяжий п/ф».</x:v>
      </x:c>
      <x:c r="K177" s="30" t="str">
        <x:v>ec6d5898-fa6d-4533-b2a5-08d93ee8df83</x:v>
      </x:c>
    </x:row>
    <x:row r="178" ht="15" hidden="0" customHeight="1">
      <x:c r="A178" s="26" t="str">
        <x:v>15</x:v>
      </x:c>
      <x:c r="B178" s="27" t="str">
        <x:v>Сухой склад</x:v>
      </x:c>
      <x:c r="C178" s="27" t="str">
        <x:v>Майонез (товар)</x:v>
      </x:c>
      <x:c r="D178" s="27" t="str">
        <x:v>Майонез</x:v>
      </x:c>
      <x:c r="E178" s="26" t="str">
        <x:v>313</x:v>
      </x:c>
      <x:c r="F178" s="26" t="str">
        <x:v>кг</x:v>
      </x:c>
      <x:c r="G178" s="26" t="str">
        <x:v>Товар</x:v>
      </x:c>
      <x:c r="H178" s="29" t="n">
        <x:v>100</x:v>
      </x:c>
      <x:c r="I178" s="28" t="str">
        <x:v>Точное</x:v>
      </x:c>
      <x:c r="J178" s="27" t="str"/>
      <x:c r="K178" s="30" t="str">
        <x:v>fa5411fe-e0bc-4d84-b1a1-b90eb22b2da0</x:v>
      </x:c>
    </x:row>
    <x:row r="179" ht="15" hidden="0" customHeight="1">
      <x:c r="A179" s="26" t="str">
        <x:v>15</x:v>
      </x:c>
      <x:c r="B179" s="27" t="str">
        <x:v>Сухой склад</x:v>
      </x:c>
      <x:c r="C179" s="27" t="str">
        <x:v>Маслины (товар)</x:v>
      </x:c>
      <x:c r="D179" s="27" t="str">
        <x:v>Маслины товар</x:v>
      </x:c>
      <x:c r="E179" s="26" t="str">
        <x:v>470</x:v>
      </x:c>
      <x:c r="F179" s="26" t="str">
        <x:v>кг</x:v>
      </x:c>
      <x:c r="G179" s="26" t="str">
        <x:v>Товар</x:v>
      </x:c>
      <x:c r="H179" s="29" t="n">
        <x:v>100</x:v>
      </x:c>
      <x:c r="I179" s="28" t="str">
        <x:v>Точное</x:v>
      </x:c>
      <x:c r="J179" s="27" t="str"/>
      <x:c r="K179" s="30" t="str">
        <x:v>b0dd10e0-758c-4e61-885d-e946c722cbbb</x:v>
      </x:c>
    </x:row>
    <x:row r="180" ht="15" hidden="0" customHeight="1">
      <x:c r="A180" s="26" t="str">
        <x:v>15, 17</x:v>
      </x:c>
      <x:c r="B180" s="27" t="str">
        <x:v>Сухой склад; Заготовочный цех</x:v>
      </x:c>
      <x:c r="C180" s="27" t="str">
        <x:v>Мука Дон-Дар (товар)</x:v>
      </x:c>
      <x:c r="D180" s="27" t="str">
        <x:v>мука донские дары</x:v>
      </x:c>
      <x:c r="E180" s="26" t="str">
        <x:v>1325</x:v>
      </x:c>
      <x:c r="F180" s="26" t="str">
        <x:v>кг</x:v>
      </x:c>
      <x:c r="G180" s="26" t="str">
        <x:v>Товар</x:v>
      </x:c>
      <x:c r="H180" s="29" t="n">
        <x:v>95</x:v>
      </x:c>
      <x:c r="I180" s="28" t="str">
        <x:v>Точное</x:v>
      </x:c>
      <x:c r="J180" s="27" t="str"/>
      <x:c r="K180" s="30" t="str">
        <x:v>0eef42b7-61d9-4d57-a1de-b8c5016b248e</x:v>
      </x:c>
    </x:row>
    <x:row r="181" ht="15" hidden="0" customHeight="1">
      <x:c r="A181" s="26" t="str">
        <x:v>15</x:v>
      </x:c>
      <x:c r="B181" s="27" t="str">
        <x:v>Сухой склад</x:v>
      </x:c>
      <x:c r="C181" s="27" t="str">
        <x:v>Соус для пиццы (товар)</x:v>
      </x:c>
      <x:c r="D181" s="27" t="str">
        <x:v>Соус для пиццы</x:v>
      </x:c>
      <x:c r="E181" s="26" t="str">
        <x:v>351</x:v>
      </x:c>
      <x:c r="F181" s="26" t="str">
        <x:v>кг</x:v>
      </x:c>
      <x:c r="G181" s="26" t="str">
        <x:v>Товар</x:v>
      </x:c>
      <x:c r="H181" s="29" t="n">
        <x:v>100</x:v>
      </x:c>
      <x:c r="I181" s="28" t="str">
        <x:v>Точное</x:v>
      </x:c>
      <x:c r="J181" s="27" t="str"/>
      <x:c r="K181" s="30" t="str">
        <x:v>9ce9e66b-34c3-47a3-a670-c959544c4fff</x:v>
      </x:c>
    </x:row>
    <x:row r="182" ht="15" hidden="0" customHeight="1">
      <x:c r="A182" s="26" t="str">
        <x:v>15</x:v>
      </x:c>
      <x:c r="B182" s="27" t="str">
        <x:v>Сухой склад</x:v>
      </x:c>
      <x:c r="C182" s="27" t="str">
        <x:v>Соус Табаджан (товар)</x:v>
      </x:c>
      <x:c r="D182" s="27" t="str">
        <x:v>Табаджан</x:v>
      </x:c>
      <x:c r="E182" s="26" t="str">
        <x:v>322</x:v>
      </x:c>
      <x:c r="F182" s="26" t="str">
        <x:v>кг</x:v>
      </x:c>
      <x:c r="G182" s="26" t="str">
        <x:v>Товар</x:v>
      </x:c>
      <x:c r="H182" s="29" t="n">
        <x:v>100</x:v>
      </x:c>
      <x:c r="I182" s="28" t="str">
        <x:v>Точное</x:v>
      </x:c>
      <x:c r="J182" s="27" t="str"/>
      <x:c r="K182" s="30" t="str">
        <x:v>6b622a8a-8016-4f39-a69b-19a583dcb066</x:v>
      </x:c>
    </x:row>
    <x:row r="183" ht="15" hidden="0" customHeight="1">
      <x:c r="A183" s="26" t="str">
        <x:v>16</x:v>
      </x:c>
      <x:c r="B183" s="27" t="str">
        <x:v>Сухой склад</x:v>
      </x:c>
      <x:c r="C183" s="27" t="str">
        <x:v>Ананасы чистый вес (товар)</x:v>
      </x:c>
      <x:c r="D183" s="27" t="str">
        <x:v>Ананасы</x:v>
      </x:c>
      <x:c r="E183" s="26" t="str">
        <x:v>473</x:v>
      </x:c>
      <x:c r="F183" s="26" t="str">
        <x:v>кг</x:v>
      </x:c>
      <x:c r="G183" s="26" t="str">
        <x:v>Товар</x:v>
      </x:c>
      <x:c r="H183" s="29" t="n">
        <x:v>95</x:v>
      </x:c>
      <x:c r="I183" s="28" t="str">
        <x:v>Точное</x:v>
      </x:c>
      <x:c r="J183" s="27" t="str"/>
      <x:c r="K183" s="30" t="str">
        <x:v>41b4f778-88a7-45ac-bcba-18c949a801cb</x:v>
      </x:c>
    </x:row>
    <x:row r="184" ht="15" hidden="0" customHeight="1">
      <x:c r="A184" s="26" t="str">
        <x:v>16</x:v>
      </x:c>
      <x:c r="B184" s="27" t="str">
        <x:v>Сухой склад</x:v>
      </x:c>
      <x:c r="C184" s="27" t="str">
        <x:v>Паста том-ям (товар)</x:v>
      </x:c>
      <x:c r="D184" s="27" t="str">
        <x:v>Паста Aroy-D Том Ям</x:v>
      </x:c>
      <x:c r="E184" s="26" t="str">
        <x:v>1262</x:v>
      </x:c>
      <x:c r="F184" s="26" t="str">
        <x:v>кг</x:v>
      </x:c>
      <x:c r="G184" s="26" t="str">
        <x:v>Товар</x:v>
      </x:c>
      <x:c r="H184" s="29" t="n">
        <x:v>95</x:v>
      </x:c>
      <x:c r="I184" s="28" t="str">
        <x:v>Точное</x:v>
      </x:c>
      <x:c r="J184" s="27" t="str"/>
      <x:c r="K184" s="30" t="str">
        <x:v>6275a3c7-e01d-4e0e-a83b-0d3e4ca65c79</x:v>
      </x:c>
    </x:row>
    <x:row r="185" ht="15" hidden="0" customHeight="1">
      <x:c r="A185" s="26" t="str">
        <x:v>17</x:v>
      </x:c>
      <x:c r="B185" s="27" t="str">
        <x:v>Заготовочный цех</x:v>
      </x:c>
      <x:c r="C185" s="27" t="str">
        <x:v>Дрожжи (товар)</x:v>
      </x:c>
      <x:c r="D185" s="27" t="str">
        <x:v>Дрожжи</x:v>
      </x:c>
      <x:c r="E185" s="26" t="str">
        <x:v>303</x:v>
      </x:c>
      <x:c r="F185" s="26" t="str">
        <x:v>кг</x:v>
      </x:c>
      <x:c r="G185" s="26" t="str">
        <x:v>Товар</x:v>
      </x:c>
      <x:c r="H185" s="29" t="n">
        <x:v>100</x:v>
      </x:c>
      <x:c r="I185" s="28" t="str">
        <x:v>Точное</x:v>
      </x:c>
      <x:c r="J185" s="27" t="str"/>
      <x:c r="K185" s="30" t="str">
        <x:v>24dd4e28-7554-4680-a1db-09af7eff2c7c</x:v>
      </x:c>
    </x:row>
    <x:row r="186" ht="15" hidden="0" customHeight="1">
      <x:c r="A186" s="26" t="str">
        <x:v>17</x:v>
      </x:c>
      <x:c r="B186" s="27" t="str">
        <x:v>Заготовочный цех</x:v>
      </x:c>
      <x:c r="C186" s="27" t="str">
        <x:v>Лук репчатый (товар)</x:v>
      </x:c>
      <x:c r="D186" s="27" t="str">
        <x:v>Лук репчатый</x:v>
      </x:c>
      <x:c r="E186" s="26" t="str">
        <x:v>364</x:v>
      </x:c>
      <x:c r="F186" s="26" t="str">
        <x:v>кг</x:v>
      </x:c>
      <x:c r="G186" s="26" t="str">
        <x:v>Товар</x:v>
      </x:c>
      <x:c r="H186" s="29" t="n">
        <x:v>100</x:v>
      </x:c>
      <x:c r="I186" s="28" t="str">
        <x:v>Точное</x:v>
      </x:c>
      <x:c r="J186" s="27" t="str"/>
      <x:c r="K186" s="30" t="str">
        <x:v>7a645d80-31d7-4deb-af4e-dce9b0f9b62b</x:v>
      </x:c>
    </x:row>
    <x:row r="187" ht="15" hidden="0" customHeight="1">
      <x:c r="A187" s="26" t="str">
        <x:v>17</x:v>
      </x:c>
      <x:c r="B187" s="27" t="str">
        <x:v>Заготовочный цех</x:v>
      </x:c>
      <x:c r="C187" s="27" t="str">
        <x:v>Мицукан п/ф</x:v>
      </x:c>
      <x:c r="D187" s="27" t="str">
        <x:v>Мицукан</x:v>
      </x:c>
      <x:c r="E187" s="26" t="str">
        <x:v>408</x:v>
      </x:c>
      <x:c r="F187" s="26" t="str">
        <x:v>кг</x:v>
      </x:c>
      <x:c r="G187" s="26" t="str">
        <x:v>Полуфабрикат</x:v>
      </x:c>
      <x:c r="H187" s="29" t="n">
        <x:v>100</x:v>
      </x:c>
      <x:c r="I187" s="28" t="str">
        <x:v>Точное</x:v>
      </x:c>
      <x:c r="J187" s="27" t="str"/>
      <x:c r="K187" s="30" t="str">
        <x:v>a6f59eec-2ff3-4d91-b64c-3b735a3fb44d</x:v>
      </x:c>
    </x:row>
    <x:row r="188" ht="21.600000381469727" hidden="0" customHeight="1">
      <x:c r="A188" s="26" t="str">
        <x:v>17</x:v>
      </x:c>
      <x:c r="B188" s="27" t="str">
        <x:v>Заготовочный цех</x:v>
      </x:c>
      <x:c r="C188" s="27" t="str">
        <x:v>Опара п/ф</x:v>
      </x:c>
      <x:c r="D188" s="27" t="str"/>
      <x:c r="E188" s="26" t="str"/>
      <x:c r="F188" s="26" t="str"/>
      <x:c r="G188" s="26" t="str"/>
      <x:c r="H188" s="29" t="n">
        <x:v>0</x:v>
      </x:c>
      <x:c r="I188" s="28" t="str">
        <x:v>Не найдено</x:v>
      </x:c>
      <x:c r="J188" s="27" t="str">
        <x:v>Активной позиции «Опара» в справочнике IIKO нет; «Тесто» является следующей стадией и не выбрано автоматически.</x:v>
      </x:c>
      <x:c r="K188" s="30" t="str"/>
    </x:row>
    <x:row r="189" ht="15" hidden="0" customHeight="1">
      <x:c r="A189" s="26" t="str">
        <x:v>17</x:v>
      </x:c>
      <x:c r="B189" s="27" t="str">
        <x:v>Заготовочный цех</x:v>
      </x:c>
      <x:c r="C189" s="27" t="str">
        <x:v>Рис сырой (товар)</x:v>
      </x:c>
      <x:c r="D189" s="27" t="str">
        <x:v>Рис Макото</x:v>
      </x:c>
      <x:c r="E189" s="26" t="str">
        <x:v>337</x:v>
      </x:c>
      <x:c r="F189" s="26" t="str">
        <x:v>кг</x:v>
      </x:c>
      <x:c r="G189" s="26" t="str">
        <x:v>Товар</x:v>
      </x:c>
      <x:c r="H189" s="29" t="n">
        <x:v>95</x:v>
      </x:c>
      <x:c r="I189" s="28" t="str">
        <x:v>Точное</x:v>
      </x:c>
      <x:c r="J189" s="27" t="str"/>
      <x:c r="K189" s="30" t="str">
        <x:v>a546bbbc-9930-48e2-b0a7-7d9aa669d7a8</x:v>
      </x:c>
    </x:row>
    <x:row r="190" ht="15" hidden="0" customHeight="1">
      <x:c r="A190" s="26" t="str">
        <x:v>17</x:v>
      </x:c>
      <x:c r="B190" s="27" t="str">
        <x:v>Заготовочный цех</x:v>
      </x:c>
      <x:c r="C190" s="27" t="str">
        <x:v>Рисовый уксус (товар)</x:v>
      </x:c>
      <x:c r="D190" s="27" t="str">
        <x:v>Уксус рисовый</x:v>
      </x:c>
      <x:c r="E190" s="26" t="str">
        <x:v>306</x:v>
      </x:c>
      <x:c r="F190" s="26" t="str">
        <x:v>л</x:v>
      </x:c>
      <x:c r="G190" s="26" t="str">
        <x:v>Товар</x:v>
      </x:c>
      <x:c r="H190" s="29" t="n">
        <x:v>100</x:v>
      </x:c>
      <x:c r="I190" s="28" t="str">
        <x:v>Точное</x:v>
      </x:c>
      <x:c r="J190" s="27" t="str"/>
      <x:c r="K190" s="30" t="str">
        <x:v>a3ae9ec9-9bfa-4a87-ad6a-f9c51451dc0c</x:v>
      </x:c>
    </x:row>
    <x:row r="191" ht="15" hidden="0" customHeight="1">
      <x:c r="A191" s="26" t="str">
        <x:v>17</x:v>
      </x:c>
      <x:c r="B191" s="27" t="str">
        <x:v>Заготовочный цех</x:v>
      </x:c>
      <x:c r="C191" s="27" t="str">
        <x:v>Сахар (товар)</x:v>
      </x:c>
      <x:c r="D191" s="27" t="str">
        <x:v>Сахар</x:v>
      </x:c>
      <x:c r="E191" s="26" t="str">
        <x:v>387</x:v>
      </x:c>
      <x:c r="F191" s="26" t="str">
        <x:v>кг</x:v>
      </x:c>
      <x:c r="G191" s="26" t="str">
        <x:v>Товар</x:v>
      </x:c>
      <x:c r="H191" s="29" t="n">
        <x:v>100</x:v>
      </x:c>
      <x:c r="I191" s="28" t="str">
        <x:v>Точное</x:v>
      </x:c>
      <x:c r="J191" s="27" t="str"/>
      <x:c r="K191" s="30" t="str">
        <x:v>2760a59c-85ae-4b38-abfe-870bc8fe4ec5</x:v>
      </x:c>
    </x:row>
    <x:row r="192" ht="15" hidden="0" customHeight="1">
      <x:c r="A192" s="26" t="str">
        <x:v>17</x:v>
      </x:c>
      <x:c r="B192" s="27" t="str">
        <x:v>Заготовочный цех</x:v>
      </x:c>
      <x:c r="C192" s="27" t="str">
        <x:v>Сметана (товар)</x:v>
      </x:c>
      <x:c r="D192" s="27" t="str">
        <x:v>Сметана</x:v>
      </x:c>
      <x:c r="E192" s="26" t="str">
        <x:v>415</x:v>
      </x:c>
      <x:c r="F192" s="26" t="str">
        <x:v>кг</x:v>
      </x:c>
      <x:c r="G192" s="26" t="str">
        <x:v>Товар</x:v>
      </x:c>
      <x:c r="H192" s="29" t="n">
        <x:v>100</x:v>
      </x:c>
      <x:c r="I192" s="28" t="str">
        <x:v>Точное</x:v>
      </x:c>
      <x:c r="J192" s="27" t="str"/>
      <x:c r="K192" s="30" t="str">
        <x:v>eb1d2eba-cee2-4cc9-9585-e551aab9c224</x:v>
      </x:c>
    </x:row>
    <x:row r="193" ht="21.600000381469727" hidden="0" customHeight="1">
      <x:c r="A193" s="26" t="str">
        <x:v>17</x:v>
      </x:c>
      <x:c r="B193" s="27" t="str">
        <x:v>Заготовочный цех</x:v>
      </x:c>
      <x:c r="C193" s="27" t="str">
        <x:v>Соевый соус (товар)</x:v>
      </x:c>
      <x:c r="D193" s="27" t="str">
        <x:v>Соевый соус Куросой</x:v>
      </x:c>
      <x:c r="E193" s="26" t="str">
        <x:v>347</x:v>
      </x:c>
      <x:c r="F193" s="26" t="str">
        <x:v>л</x:v>
      </x:c>
      <x:c r="G193" s="26" t="str">
        <x:v>Товар</x:v>
      </x:c>
      <x:c r="H193" s="29" t="n">
        <x:v>55</x:v>
      </x:c>
      <x:c r="I193" s="28" t="str">
        <x:v>Требует проверки</x:v>
      </x:c>
      <x:c r="J193" s="27" t="str">
        <x:v>Выбран «Соевый соус Куросой». В IIKO также активен «Соевый соус Dun Kan» (код 1264); бренд на листе не указан.</x:v>
      </x:c>
      <x:c r="K193" s="30" t="str">
        <x:v>c8001807-881c-4f87-bdaf-a1a661d5827d</x:v>
      </x:c>
    </x:row>
    <x:row r="194" ht="15" hidden="0" customHeight="1">
      <x:c r="A194" s="26" t="str">
        <x:v>17</x:v>
      </x:c>
      <x:c r="B194" s="27" t="str">
        <x:v>Заготовочный цех</x:v>
      </x:c>
      <x:c r="C194" s="27" t="str">
        <x:v>Соус макси бургер (товар)</x:v>
      </x:c>
      <x:c r="D194" s="27" t="str">
        <x:v>Соус Макси-бургер</x:v>
      </x:c>
      <x:c r="E194" s="26" t="str">
        <x:v>620</x:v>
      </x:c>
      <x:c r="F194" s="26" t="str">
        <x:v>кг</x:v>
      </x:c>
      <x:c r="G194" s="26" t="str">
        <x:v>Товар</x:v>
      </x:c>
      <x:c r="H194" s="29" t="n">
        <x:v>100</x:v>
      </x:c>
      <x:c r="I194" s="28" t="str">
        <x:v>Точное</x:v>
      </x:c>
      <x:c r="J194" s="27" t="str"/>
      <x:c r="K194" s="30" t="str">
        <x:v>648caa25-12d6-4a4d-8081-ede284727311</x:v>
      </x:c>
    </x:row>
    <x:row r="195" ht="15" hidden="0" customHeight="1">
      <x:c r="A195" s="26" t="str">
        <x:v>17</x:v>
      </x:c>
      <x:c r="B195" s="27" t="str">
        <x:v>Заготовочный цех</x:v>
      </x:c>
      <x:c r="C195" s="27" t="str">
        <x:v>Тесто готовое п/ф</x:v>
      </x:c>
      <x:c r="D195" s="27" t="str">
        <x:v>Тесто</x:v>
      </x:c>
      <x:c r="E195" s="26" t="str">
        <x:v>471</x:v>
      </x:c>
      <x:c r="F195" s="26" t="str">
        <x:v>кг</x:v>
      </x:c>
      <x:c r="G195" s="26" t="str">
        <x:v>Полуфабрикат</x:v>
      </x:c>
      <x:c r="H195" s="29" t="n">
        <x:v>100</x:v>
      </x:c>
      <x:c r="I195" s="28" t="str">
        <x:v>Точное</x:v>
      </x:c>
      <x:c r="J195" s="27" t="str"/>
      <x:c r="K195" s="30" t="str">
        <x:v>3f400e65-8a8a-41f6-9cfb-750541be00ea</x:v>
      </x:c>
    </x:row>
    <x:row r="196" ht="15" hidden="0" customHeight="1">
      <x:c r="A196" s="26" t="str">
        <x:v>17</x:v>
      </x:c>
      <x:c r="B196" s="27" t="str">
        <x:v>Заготовочный цех</x:v>
      </x:c>
      <x:c r="C196" s="27" t="str">
        <x:v>Чеснок свежий (товар)</x:v>
      </x:c>
      <x:c r="D196" s="27" t="str">
        <x:v>Чеснок свежий</x:v>
      </x:c>
      <x:c r="E196" s="26" t="str">
        <x:v>422</x:v>
      </x:c>
      <x:c r="F196" s="26" t="str">
        <x:v>кг</x:v>
      </x:c>
      <x:c r="G196" s="26" t="str">
        <x:v>Товар</x:v>
      </x:c>
      <x:c r="H196" s="29" t="n">
        <x:v>100</x:v>
      </x:c>
      <x:c r="I196" s="28" t="str">
        <x:v>Точное</x:v>
      </x:c>
      <x:c r="J196" s="27" t="str"/>
      <x:c r="K196" s="30" t="str">
        <x:v>1f69d3e0-bbfc-4244-a847-dced085647e1</x:v>
      </x:c>
    </x:row>
    <x:row r="197" ht="15" hidden="0" customHeight="1">
      <x:c r="A197" s="26" t="str">
        <x:v>17</x:v>
      </x:c>
      <x:c r="B197" s="27" t="str">
        <x:v>Заготовочный цех</x:v>
      </x:c>
      <x:c r="C197" s="27" t="str">
        <x:v>Яйцо (товар)</x:v>
      </x:c>
      <x:c r="D197" s="27" t="str">
        <x:v>Яйца</x:v>
      </x:c>
      <x:c r="E197" s="26" t="str">
        <x:v>375</x:v>
      </x:c>
      <x:c r="F197" s="26" t="str">
        <x:v>шт</x:v>
      </x:c>
      <x:c r="G197" s="26" t="str">
        <x:v>Товар</x:v>
      </x:c>
      <x:c r="H197" s="29" t="n">
        <x:v>95</x:v>
      </x:c>
      <x:c r="I197" s="28" t="str">
        <x:v>Точное</x:v>
      </x:c>
      <x:c r="J197" s="27" t="str"/>
      <x:c r="K197" s="30" t="str">
        <x:v>94252ade-4208-4f2d-a846-5fff13f8b681</x:v>
      </x:c>
    </x:row>
    <x:row r="198" ht="15" hidden="0" customHeight="1">
      <x:c r="A198" s="26" t="str">
        <x:v>18</x:v>
      </x:c>
      <x:c r="B198" s="27" t="str">
        <x:v>Заготовочный цех</x:v>
      </x:c>
      <x:c r="C198" s="27" t="str">
        <x:v>Комбу (товар)</x:v>
      </x:c>
      <x:c r="D198" s="27" t="str">
        <x:v>Комбу</x:v>
      </x:c>
      <x:c r="E198" s="26" t="str">
        <x:v>658</x:v>
      </x:c>
      <x:c r="F198" s="26" t="str">
        <x:v>кг</x:v>
      </x:c>
      <x:c r="G198" s="26" t="str">
        <x:v>Товар</x:v>
      </x:c>
      <x:c r="H198" s="29" t="n">
        <x:v>100</x:v>
      </x:c>
      <x:c r="I198" s="28" t="str">
        <x:v>Точное</x:v>
      </x:c>
      <x:c r="J198" s="27" t="str"/>
      <x:c r="K198" s="30" t="str">
        <x:v>967b70a9-ea88-4ef6-ab8d-656980e78eb2</x:v>
      </x:c>
    </x:row>
    <x:row r="199" ht="15" hidden="0" customHeight="1">
      <x:c r="A199" s="26" t="str">
        <x:v>18</x:v>
      </x:c>
      <x:c r="B199" s="27" t="str">
        <x:v>Заготовочный цех</x:v>
      </x:c>
      <x:c r="C199" s="27" t="str">
        <x:v>Краситель (товар)</x:v>
      </x:c>
      <x:c r="D199" s="27" t="str">
        <x:v>Краситель желтый</x:v>
      </x:c>
      <x:c r="E199" s="26" t="str">
        <x:v>675</x:v>
      </x:c>
      <x:c r="F199" s="26" t="str">
        <x:v>кг</x:v>
      </x:c>
      <x:c r="G199" s="26" t="str">
        <x:v>Товар</x:v>
      </x:c>
      <x:c r="H199" s="29" t="n">
        <x:v>75</x:v>
      </x:c>
      <x:c r="I199" s="28" t="str">
        <x:v>По смыслу</x:v>
      </x:c>
      <x:c r="J199" s="27" t="str">
        <x:v>В IIKO активен только «Краситель желтый»; цвет на листе не указан.</x:v>
      </x:c>
      <x:c r="K199" s="30" t="str">
        <x:v>90fc6bd0-4ad1-4e9c-bfee-1eaa49d08242</x:v>
      </x:c>
    </x:row>
    <x:row r="200" ht="15" hidden="0" customHeight="1">
      <x:c r="A200" s="26" t="str">
        <x:v>18</x:v>
      </x:c>
      <x:c r="B200" s="27" t="str">
        <x:v>Заготовочный цех</x:v>
      </x:c>
      <x:c r="C200" s="27" t="str">
        <x:v>Соус сырный (товар)</x:v>
      </x:c>
      <x:c r="D200" s="27" t="str">
        <x:v>Сырный соус Хайнц</x:v>
      </x:c>
      <x:c r="E200" s="26" t="str">
        <x:v>315</x:v>
      </x:c>
      <x:c r="F200" s="26" t="str">
        <x:v>кг</x:v>
      </x:c>
      <x:c r="G200" s="26" t="str">
        <x:v>Товар</x:v>
      </x:c>
      <x:c r="H200" s="29" t="n">
        <x:v>80</x:v>
      </x:c>
      <x:c r="I200" s="28" t="str">
        <x:v>По смыслу</x:v>
      </x:c>
      <x:c r="J200" s="27" t="str">
        <x:v>Сопоставлено с товаром «Сырный соус Хайнц».</x:v>
      </x:c>
      <x:c r="K200" s="30" t="str">
        <x:v>2c16dfd4-965f-4345-926b-e18538f58987</x:v>
      </x:c>
    </x:row>
  </x:sheetData>
  <x:mergeCells>
    <x:mergeCell ref="A1:K1"/>
    <x:mergeCell ref="A2:K2"/>
  </x:mergeCells>
  <x:conditionalFormatting sqref="A6:K200">
    <x:cfRule type="expression" dxfId="0" priority="1">
      <x:formula>$I6="Точное"</x:formula>
    </x:cfRule>
    <x:cfRule type="expression" dxfId="1" priority="2">
      <x:formula>$I6="По смыслу"</x:formula>
    </x:cfRule>
    <x:cfRule type="expression" dxfId="2" priority="3">
      <x:formula>$I6="Требует проверки"</x:formula>
    </x:cfRule>
    <x:cfRule type="expression" dxfId="3" priority="4">
      <x:formula>$I6="Не найдено"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5cef976a044ea9"/>
  </x:tableParts>
</x:worksheet>
</file>